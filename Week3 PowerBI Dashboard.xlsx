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hartData" sheetId="1" state="hidden" r:id="rId3"/>
    <sheet name="📈 Dashboard" sheetId="2" state="visible" r:id="rId4"/>
    <sheet name="📋 Sales Dataset" sheetId="3" state="visible" r:id="rId5"/>
    <sheet name="🏆 Products" sheetId="4" state="visible" r:id="rId6"/>
    <sheet name="📅 Monthly Trends" sheetId="5" state="visible" r:id="rId7"/>
    <sheet name="🌍 Regional Analysis" sheetId="6" state="visible" r:id="rId8"/>
    <sheet name="👤 Sales Reps" sheetId="7" state="visible" r:id="rId9"/>
    <sheet name="📡 Channels" sheetId="8" state="visible" r:id="rId10"/>
    <sheet name="📊 Quarterly Report" sheetId="9" state="visible" r:id="rId11"/>
  </sheets>
  <definedNames>
    <definedName function="false" hidden="true" localSheetId="2" name="_xlnm._FilterDatabase" vbProcedure="false">'📋 Sales Dataset'!$A$2:$L$2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<sst xmlns="http://schemas.openxmlformats.org/spreadsheetml/2006/main" count="621" uniqueCount="200">
  <si>
    <t xml:space="preserve">Month</t>
  </si>
  <si>
    <t xml:space="preserve">Revenue</t>
  </si>
  <si>
    <t xml:space="preserve">Units</t>
  </si>
  <si>
    <t xml:space="preserve">Product</t>
  </si>
  <si>
    <t xml:space="preserve">Region</t>
  </si>
  <si>
    <t xml:space="preserve">Category</t>
  </si>
  <si>
    <t xml:space="preserve">Quarter</t>
  </si>
  <si>
    <t xml:space="preserve">Channel</t>
  </si>
  <si>
    <t xml:space="preserve">Jan</t>
  </si>
  <si>
    <t xml:space="preserve">Laptop</t>
  </si>
  <si>
    <t xml:space="preserve">North</t>
  </si>
  <si>
    <t xml:space="preserve">Electronics</t>
  </si>
  <si>
    <t xml:space="preserve">Q1</t>
  </si>
  <si>
    <t xml:space="preserve">Online</t>
  </si>
  <si>
    <t xml:space="preserve">Feb</t>
  </si>
  <si>
    <t xml:space="preserve">Smartphone</t>
  </si>
  <si>
    <t xml:space="preserve">South</t>
  </si>
  <si>
    <t xml:space="preserve">Accessories</t>
  </si>
  <si>
    <t xml:space="preserve">Q2</t>
  </si>
  <si>
    <t xml:space="preserve">Retail</t>
  </si>
  <si>
    <t xml:space="preserve">Mar</t>
  </si>
  <si>
    <t xml:space="preserve">Tablet</t>
  </si>
  <si>
    <t xml:space="preserve">East</t>
  </si>
  <si>
    <t xml:space="preserve">Q3</t>
  </si>
  <si>
    <t xml:space="preserve">Wholesale</t>
  </si>
  <si>
    <t xml:space="preserve">Apr</t>
  </si>
  <si>
    <t xml:space="preserve">Headphones</t>
  </si>
  <si>
    <t xml:space="preserve">West</t>
  </si>
  <si>
    <t xml:space="preserve">Q4</t>
  </si>
  <si>
    <t xml:space="preserve">May</t>
  </si>
  <si>
    <t xml:space="preserve">Smart Watch</t>
  </si>
  <si>
    <t xml:space="preserve">Central</t>
  </si>
  <si>
    <t xml:space="preserve">Jun</t>
  </si>
  <si>
    <t xml:space="preserve">Earbuds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</si>
  <si>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</si>
  <si>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</si>
  <si>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</si>
  <si>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</si>
  <si>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</si>
  <si>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</si>
  <si>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   ⚡  NEXUS TECH  ·  POWER BI STYLE INTERACTIVE DASHBOARD  ·  FY 2024</t>
  </si>
  <si>
    <t xml:space="preserve">  🔽  FILTERS / SLICERS  —  Go to each data sheet and use the AutoFilter dropdowns (▼ arrows on column headers) to slice by Region · Quarter · Channel · Product · Sales Rep</t>
  </si>
  <si>
    <t xml:space="preserve">TOTAL REVENUE</t>
  </si>
  <si>
    <t xml:space="preserve">TOTAL UNITS</t>
  </si>
  <si>
    <t xml:space="preserve">TRANSACTIONS</t>
  </si>
  <si>
    <t xml:space="preserve">TOP PRODUCT</t>
  </si>
  <si>
    <t xml:space="preserve">BEST REGION</t>
  </si>
  <si>
    <t xml:space="preserve">FY 2024 · All Channels</t>
  </si>
  <si>
    <t xml:space="preserve">All Products Sold</t>
  </si>
  <si>
    <t xml:space="preserve">Total Orders</t>
  </si>
  <si>
    <t xml:space="preserve">Highest Revenue</t>
  </si>
  <si>
    <t xml:space="preserve">Top Performing</t>
  </si>
  <si>
    <t xml:space="preserve">  ● REVENUE TRENDS  ·  Monthly &amp; Quarterly Performance</t>
  </si>
  <si>
    <t xml:space="preserve">  ● PRODUCT &amp; CHANNEL PERFORMANCE  ·  Revenue Breakdown</t>
  </si>
  <si>
    <t xml:space="preserve">  ● REGIONAL &amp; SALES REP PERFORMANCE  ·  Who &amp; Where</t>
  </si>
  <si>
    <t xml:space="preserve">    © 2024 Nexus Tech Analytics  ·  Week 3: Power BI Style Dashboard  ·  Built in Microsoft Excel  ·  All figures in INR  ·  Internal Use Only</t>
  </si>
  <si>
    <t xml:space="preserve">   NEXUS TECH  ·  SALES TRANSACTION DATABASE  ·  FY 2024</t>
  </si>
  <si>
    <t xml:space="preserve">Sale ID</t>
  </si>
  <si>
    <t xml:space="preserve">Date</t>
  </si>
  <si>
    <t xml:space="preserve">Unit Price (₹)</t>
  </si>
  <si>
    <t xml:space="preserve">Revenue (₹)</t>
  </si>
  <si>
    <t xml:space="preserve">Sales Rep</t>
  </si>
  <si>
    <t xml:space="preserve">S001</t>
  </si>
  <si>
    <t xml:space="preserve">2024-01-05</t>
  </si>
  <si>
    <t xml:space="preserve">January</t>
  </si>
  <si>
    <t xml:space="preserve">Arjun Sharma</t>
  </si>
  <si>
    <t xml:space="preserve">S002</t>
  </si>
  <si>
    <t xml:space="preserve">2024-01-12</t>
  </si>
  <si>
    <t xml:space="preserve">Priya Reddy</t>
  </si>
  <si>
    <t xml:space="preserve">S003</t>
  </si>
  <si>
    <t xml:space="preserve">2024-01-18</t>
  </si>
  <si>
    <t xml:space="preserve">Rahul Verma</t>
  </si>
  <si>
    <t xml:space="preserve">S004</t>
  </si>
  <si>
    <t xml:space="preserve">2024-01-25</t>
  </si>
  <si>
    <t xml:space="preserve">Sneha Patel</t>
  </si>
  <si>
    <t xml:space="preserve">S005</t>
  </si>
  <si>
    <t xml:space="preserve">2024-02-03</t>
  </si>
  <si>
    <t xml:space="preserve">February</t>
  </si>
  <si>
    <t xml:space="preserve">S006</t>
  </si>
  <si>
    <t xml:space="preserve">2024-02-10</t>
  </si>
  <si>
    <t xml:space="preserve">Karthik Nair</t>
  </si>
  <si>
    <t xml:space="preserve">S007</t>
  </si>
  <si>
    <t xml:space="preserve">2024-02-18</t>
  </si>
  <si>
    <t xml:space="preserve">S008</t>
  </si>
  <si>
    <t xml:space="preserve">2024-02-25</t>
  </si>
  <si>
    <t xml:space="preserve">S009</t>
  </si>
  <si>
    <t xml:space="preserve">2024-03-04</t>
  </si>
  <si>
    <t xml:space="preserve">March</t>
  </si>
  <si>
    <t xml:space="preserve">S010</t>
  </si>
  <si>
    <t xml:space="preserve">2024-03-11</t>
  </si>
  <si>
    <t xml:space="preserve">S011</t>
  </si>
  <si>
    <t xml:space="preserve">2024-03-18</t>
  </si>
  <si>
    <t xml:space="preserve">S012</t>
  </si>
  <si>
    <t xml:space="preserve">2024-03-25</t>
  </si>
  <si>
    <t xml:space="preserve">S013</t>
  </si>
  <si>
    <t xml:space="preserve">2024-04-02</t>
  </si>
  <si>
    <t xml:space="preserve">April</t>
  </si>
  <si>
    <t xml:space="preserve">S014</t>
  </si>
  <si>
    <t xml:space="preserve">2024-04-09</t>
  </si>
  <si>
    <t xml:space="preserve">S015</t>
  </si>
  <si>
    <t xml:space="preserve">2024-04-16</t>
  </si>
  <si>
    <t xml:space="preserve">S016</t>
  </si>
  <si>
    <t xml:space="preserve">2024-04-23</t>
  </si>
  <si>
    <t xml:space="preserve">S017</t>
  </si>
  <si>
    <t xml:space="preserve">2024-05-07</t>
  </si>
  <si>
    <t xml:space="preserve">S018</t>
  </si>
  <si>
    <t xml:space="preserve">2024-05-14</t>
  </si>
  <si>
    <t xml:space="preserve">S019</t>
  </si>
  <si>
    <t xml:space="preserve">2024-05-21</t>
  </si>
  <si>
    <t xml:space="preserve">S020</t>
  </si>
  <si>
    <t xml:space="preserve">2024-05-28</t>
  </si>
  <si>
    <t xml:space="preserve">S021</t>
  </si>
  <si>
    <t xml:space="preserve">2024-06-04</t>
  </si>
  <si>
    <t xml:space="preserve">June</t>
  </si>
  <si>
    <t xml:space="preserve">S022</t>
  </si>
  <si>
    <t xml:space="preserve">2024-06-11</t>
  </si>
  <si>
    <t xml:space="preserve">S023</t>
  </si>
  <si>
    <t xml:space="preserve">2024-06-18</t>
  </si>
  <si>
    <t xml:space="preserve">S024</t>
  </si>
  <si>
    <t xml:space="preserve">2024-06-25</t>
  </si>
  <si>
    <t xml:space="preserve">S025</t>
  </si>
  <si>
    <t xml:space="preserve">2024-07-02</t>
  </si>
  <si>
    <t xml:space="preserve">July</t>
  </si>
  <si>
    <t xml:space="preserve">S026</t>
  </si>
  <si>
    <t xml:space="preserve">2024-07-09</t>
  </si>
  <si>
    <t xml:space="preserve">S027</t>
  </si>
  <si>
    <t xml:space="preserve">2024-07-16</t>
  </si>
  <si>
    <t xml:space="preserve">S028</t>
  </si>
  <si>
    <t xml:space="preserve">2024-07-23</t>
  </si>
  <si>
    <t xml:space="preserve">S029</t>
  </si>
  <si>
    <t xml:space="preserve">2024-08-06</t>
  </si>
  <si>
    <t xml:space="preserve">August</t>
  </si>
  <si>
    <t xml:space="preserve">S030</t>
  </si>
  <si>
    <t xml:space="preserve">2024-08-13</t>
  </si>
  <si>
    <t xml:space="preserve">S031</t>
  </si>
  <si>
    <t xml:space="preserve">2024-08-20</t>
  </si>
  <si>
    <t xml:space="preserve">S032</t>
  </si>
  <si>
    <t xml:space="preserve">2024-08-27</t>
  </si>
  <si>
    <t xml:space="preserve">S033</t>
  </si>
  <si>
    <t xml:space="preserve">2024-09-03</t>
  </si>
  <si>
    <t xml:space="preserve">September</t>
  </si>
  <si>
    <t xml:space="preserve">S034</t>
  </si>
  <si>
    <t xml:space="preserve">2024-09-10</t>
  </si>
  <si>
    <t xml:space="preserve">S035</t>
  </si>
  <si>
    <t xml:space="preserve">2024-09-17</t>
  </si>
  <si>
    <t xml:space="preserve">S036</t>
  </si>
  <si>
    <t xml:space="preserve">2024-09-24</t>
  </si>
  <si>
    <t xml:space="preserve">S037</t>
  </si>
  <si>
    <t xml:space="preserve">2024-10-01</t>
  </si>
  <si>
    <t xml:space="preserve">October</t>
  </si>
  <si>
    <t xml:space="preserve">S038</t>
  </si>
  <si>
    <t xml:space="preserve">2024-10-08</t>
  </si>
  <si>
    <t xml:space="preserve">S039</t>
  </si>
  <si>
    <t xml:space="preserve">2024-10-15</t>
  </si>
  <si>
    <t xml:space="preserve">S040</t>
  </si>
  <si>
    <t xml:space="preserve">2024-10-22</t>
  </si>
  <si>
    <t xml:space="preserve">S041</t>
  </si>
  <si>
    <t xml:space="preserve">2024-11-05</t>
  </si>
  <si>
    <t xml:space="preserve">November</t>
  </si>
  <si>
    <t xml:space="preserve">S042</t>
  </si>
  <si>
    <t xml:space="preserve">2024-11-12</t>
  </si>
  <si>
    <t xml:space="preserve">S043</t>
  </si>
  <si>
    <t xml:space="preserve">2024-11-19</t>
  </si>
  <si>
    <t xml:space="preserve">S044</t>
  </si>
  <si>
    <t xml:space="preserve">2024-11-26</t>
  </si>
  <si>
    <t xml:space="preserve">S045</t>
  </si>
  <si>
    <t xml:space="preserve">2024-12-03</t>
  </si>
  <si>
    <t xml:space="preserve">December</t>
  </si>
  <si>
    <t xml:space="preserve">S046</t>
  </si>
  <si>
    <t xml:space="preserve">2024-12-10</t>
  </si>
  <si>
    <t xml:space="preserve">S047</t>
  </si>
  <si>
    <t xml:space="preserve">2024-12-17</t>
  </si>
  <si>
    <t xml:space="preserve">S048</t>
  </si>
  <si>
    <t xml:space="preserve">2024-12-24</t>
  </si>
  <si>
    <t xml:space="preserve">GRAND TOTAL</t>
  </si>
  <si>
    <t xml:space="preserve">   PRODUCT PERFORMANCE ANALYSIS  ·  FY 2024</t>
  </si>
  <si>
    <t xml:space="preserve">Units Sold</t>
  </si>
  <si>
    <t xml:space="preserve">Avg Price (₹)</t>
  </si>
  <si>
    <t xml:space="preserve">Revenue Share %</t>
  </si>
  <si>
    <t xml:space="preserve">Rank</t>
  </si>
  <si>
    <t xml:space="preserve">TOTAL</t>
  </si>
  <si>
    <t xml:space="preserve">   MONTHLY SALES TRENDS  ·  FY 2024</t>
  </si>
  <si>
    <t xml:space="preserve">Prev Month Rev</t>
  </si>
  <si>
    <t xml:space="preserve">MoM Growth %</t>
  </si>
  <si>
    <t xml:space="preserve">Cumulative Rev</t>
  </si>
  <si>
    <t xml:space="preserve">% of Year</t>
  </si>
  <si>
    <t xml:space="preserve">—</t>
  </si>
  <si>
    <t xml:space="preserve">FULL YEAR</t>
  </si>
  <si>
    <t xml:space="preserve">   REGIONAL SALES BREAKDOWN  ·  FY 2024</t>
  </si>
  <si>
    <t xml:space="preserve">Transactions</t>
  </si>
  <si>
    <t xml:space="preserve">   SALES REP PERFORMANCE  ·  FY 2024</t>
  </si>
  <si>
    <t xml:space="preserve">Avg Deal Size (₹)</t>
  </si>
  <si>
    <t xml:space="preserve">   SALES CHANNEL PERFORMANCE  ·  FY 2024</t>
  </si>
  <si>
    <t xml:space="preserve">   QUARTERLY PERFORMANCE REPORT  ·  FY 2024</t>
  </si>
  <si>
    <t xml:space="preserve">Months</t>
  </si>
  <si>
    <t xml:space="preserve">QoQ Growth %</t>
  </si>
  <si>
    <t xml:space="preserve">Jan-Mar</t>
  </si>
  <si>
    <t xml:space="preserve">Apr-Jun</t>
  </si>
  <si>
    <t xml:space="preserve">Jul-Sep</t>
  </si>
  <si>
    <t xml:space="preserve">Oct-Dec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</si>
</sst>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#,##0"/>
    <numFmt numFmtId="167" formatCode="@"/>
    <numFmt numFmtId="168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B84B"/>
      <name val="Calibri Light"/>
      <family val="0"/>
      <charset val="1"/>
    </font>
    <font>
      <b val="true"/>
      <sz val="8"/>
      <color rgb="FF00E5FF"/>
      <name val="Calibri Light"/>
      <family val="0"/>
      <charset val="1"/>
    </font>
    <font>
      <b val="true"/>
      <sz val="7.5"/>
      <color rgb="FF6B8CAE"/>
      <name val="Calibri Light"/>
      <family val="0"/>
      <charset val="1"/>
    </font>
    <font>
      <b val="true"/>
      <sz val="17"/>
      <color rgb="FF00C2D4"/>
      <name val="Calibri Light"/>
      <family val="0"/>
      <charset val="1"/>
    </font>
    <font>
      <b val="true"/>
      <sz val="17"/>
      <color rgb="FFE8B84B"/>
      <name val="Calibri Light"/>
      <family val="0"/>
      <charset val="1"/>
    </font>
    <font>
      <b val="true"/>
      <sz val="17"/>
      <color rgb="FF8B5CF6"/>
      <name val="Calibri Light"/>
      <family val="0"/>
      <charset val="1"/>
    </font>
    <font>
      <b val="true"/>
      <sz val="17"/>
      <color rgb="FF00E096"/>
      <name val="Calibri Light"/>
      <family val="0"/>
      <charset val="1"/>
    </font>
    <font>
      <b val="true"/>
      <sz val="17"/>
      <color rgb="FFFF8C42"/>
      <name val="Calibri Light"/>
      <family val="0"/>
      <charset val="1"/>
    </font>
    <font>
      <i val="true"/>
      <sz val="7.5"/>
      <color rgb="FF6B8CAE"/>
      <name val="Calibri Light"/>
      <family val="0"/>
      <charset val="1"/>
    </font>
    <font>
      <b val="true"/>
      <sz val="8"/>
      <color rgb="FFF5D27A"/>
      <name val="Calibri Light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E8B84B"/>
      <name val="Calibri Light"/>
      <family val="0"/>
      <charset val="1"/>
    </font>
    <font>
      <b val="true"/>
      <sz val="9"/>
      <color rgb="FFE8B84B"/>
      <name val="Calibri"/>
      <family val="0"/>
      <charset val="1"/>
    </font>
    <font>
      <sz val="9"/>
      <color rgb="FFC8DCF0"/>
      <name val="Calibri"/>
      <family val="0"/>
      <charset val="1"/>
    </font>
    <font>
      <b val="true"/>
      <sz val="10"/>
      <color rgb="FFF5D27A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929"/>
        <bgColor rgb="FF132236"/>
      </patternFill>
    </fill>
    <fill>
      <patternFill patternType="solid">
        <fgColor rgb="FFE8B84B"/>
        <bgColor rgb="FFF5D27A"/>
      </patternFill>
    </fill>
    <fill>
      <patternFill patternType="solid">
        <fgColor rgb="FF1E3A5F"/>
        <bgColor rgb="FF1A2F47"/>
      </patternFill>
    </fill>
    <fill>
      <patternFill patternType="solid">
        <fgColor rgb="FF00C2D4"/>
        <bgColor rgb="FF00B4D8"/>
      </patternFill>
    </fill>
    <fill>
      <patternFill patternType="solid">
        <fgColor rgb="FF8B5CF6"/>
        <bgColor rgb="FF6B8CAE"/>
      </patternFill>
    </fill>
    <fill>
      <patternFill patternType="solid">
        <fgColor rgb="FF00E096"/>
        <bgColor rgb="FF00C2D4"/>
      </patternFill>
    </fill>
    <fill>
      <patternFill patternType="solid">
        <fgColor rgb="FFFF8C42"/>
        <bgColor rgb="FFF4845F"/>
      </patternFill>
    </fill>
    <fill>
      <patternFill patternType="solid">
        <fgColor rgb="FF0F2744"/>
        <bgColor rgb="FF132236"/>
      </patternFill>
    </fill>
    <fill>
      <patternFill patternType="solid">
        <fgColor rgb="FF132236"/>
        <bgColor rgb="FF0F2744"/>
      </patternFill>
    </fill>
    <fill>
      <patternFill patternType="solid">
        <fgColor rgb="FF1A2F47"/>
        <bgColor rgb="FF0F2744"/>
      </patternFill>
    </fill>
    <fill>
      <patternFill patternType="solid">
        <fgColor rgb="FF070F1A"/>
        <bgColor rgb="FF0B192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E8B84B"/>
      </bottom>
      <diagonal/>
    </border>
    <border diagonalUp="false" diagonalDown="false">
      <left/>
      <right/>
      <top/>
      <bottom style="thin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929"/>
          <bgColor rgb="FF000000"/>
        </patternFill>
      </fill>
    </dxf>
    <dxf>
      <fill>
        <patternFill patternType="solid">
          <fgColor rgb="FF132236"/>
          <bgColor rgb="FF000000"/>
        </patternFill>
      </fill>
    </dxf>
    <dxf>
      <fill>
        <patternFill patternType="solid">
          <fgColor rgb="FFE8B84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5FF"/>
      <rgbColor rgb="FF800000"/>
      <rgbColor rgb="FF008000"/>
      <rgbColor rgb="FF070F1A"/>
      <rgbColor rgb="FF808000"/>
      <rgbColor rgb="FF800080"/>
      <rgbColor rgb="FF00B4D8"/>
      <rgbColor rgb="FFD9D9D9"/>
      <rgbColor rgb="FF878787"/>
      <rgbColor rgb="FF8B5CF6"/>
      <rgbColor rgb="FF993366"/>
      <rgbColor rgb="FFFFFFCC"/>
      <rgbColor rgb="FFCCFFFF"/>
      <rgbColor rgb="FF660066"/>
      <rgbColor rgb="FFF4845F"/>
      <rgbColor rgb="FF0066CC"/>
      <rgbColor rgb="FFC8DCF0"/>
      <rgbColor rgb="FF000080"/>
      <rgbColor rgb="FFFF00FF"/>
      <rgbColor rgb="FFFFFF00"/>
      <rgbColor rgb="FF00E096"/>
      <rgbColor rgb="FF800080"/>
      <rgbColor rgb="FF800000"/>
      <rgbColor rgb="FF008080"/>
      <rgbColor rgb="FF0000FF"/>
      <rgbColor rgb="FF00C2D4"/>
      <rgbColor rgb="FFCCFFFF"/>
      <rgbColor rgb="FFCCFFCC"/>
      <rgbColor rgb="FFFFFF99"/>
      <rgbColor rgb="FF99CCFF"/>
      <rgbColor rgb="FFF472B6"/>
      <rgbColor rgb="FFCC99FF"/>
      <rgbColor rgb="FFF5D27A"/>
      <rgbColor rgb="FF3366FF"/>
      <rgbColor rgb="FF4FC3F7"/>
      <rgbColor rgb="FF99CC00"/>
      <rgbColor rgb="FFE8B84B"/>
      <rgbColor rgb="FFFF8C42"/>
      <rgbColor rgb="FFFF4C6A"/>
      <rgbColor rgb="FF4F81BD"/>
      <rgbColor rgb="FF6B8CAE"/>
      <rgbColor rgb="FF0F2744"/>
      <rgbColor rgb="FF00A86B"/>
      <rgbColor rgb="FF132236"/>
      <rgbColor rgb="FF0B1929"/>
      <rgbColor rgb="FF993300"/>
      <rgbColor rgb="FF993366"/>
      <rgbColor rgb="FF1E3A5F"/>
      <rgbColor rgb="FF1A2F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c2d4"/>
            </a:solidFill>
            <a:ln w="28080">
              <a:solidFill>
                <a:srgbClr val="00c2d4"/>
              </a:solidFill>
              <a:round/>
            </a:ln>
          </c:spPr>
          <c:marker>
            <c:symbol val="circle"/>
            <c:size val="6"/>
            <c:spPr>
              <a:solidFill>
                <a:srgbClr val="00c2d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ChartData!$B$2:$B$13</c:f>
              <c:numCache>
                <c:formatCode>General</c:formatCode>
                <c:ptCount val="12"/>
                <c:pt idx="0">
                  <c:v>2850000</c:v>
                </c:pt>
                <c:pt idx="1">
                  <c:v>3120000</c:v>
                </c:pt>
                <c:pt idx="2">
                  <c:v>4200000</c:v>
                </c:pt>
                <c:pt idx="3">
                  <c:v>3650000</c:v>
                </c:pt>
                <c:pt idx="4">
                  <c:v>4890000</c:v>
                </c:pt>
                <c:pt idx="5">
                  <c:v>5100000</c:v>
                </c:pt>
                <c:pt idx="6">
                  <c:v>4750000</c:v>
                </c:pt>
                <c:pt idx="7">
                  <c:v>5500000</c:v>
                </c:pt>
                <c:pt idx="8">
                  <c:v>6200000</c:v>
                </c:pt>
                <c:pt idx="9">
                  <c:v>5800000</c:v>
                </c:pt>
                <c:pt idx="10">
                  <c:v>7100000</c:v>
                </c:pt>
                <c:pt idx="11">
                  <c:v>8400000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2763665"/>
        <c:axId val="17904333"/>
      </c:lineChart>
      <c:catAx>
        <c:axId val="22763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04333"/>
        <c:crosses val="autoZero"/>
        <c:auto val="1"/>
        <c:lblAlgn val="ctr"/>
        <c:lblOffset val="100"/>
        <c:noMultiLvlLbl val="0"/>
      </c:catAx>
      <c:valAx>
        <c:axId val="179043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3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ChartData!P1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c2d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e09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ChartData!$O$2:$O$5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ChartData!$P$2:$P$5</c:f>
              <c:numCache>
                <c:formatCode>General</c:formatCode>
                <c:ptCount val="4"/>
                <c:pt idx="0">
                  <c:v>10170000</c:v>
                </c:pt>
                <c:pt idx="1">
                  <c:v>13640000</c:v>
                </c:pt>
                <c:pt idx="2">
                  <c:v>16450000</c:v>
                </c:pt>
                <c:pt idx="3">
                  <c:v>21300000</c:v>
                </c:pt>
              </c:numCache>
            </c:numRef>
          </c:val>
        </c:ser>
        <c:gapWidth val="150"/>
        <c:overlap val="0"/>
        <c:axId val="62428935"/>
        <c:axId val="58459802"/>
      </c:barChart>
      <c:catAx>
        <c:axId val="62428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59802"/>
        <c:crosses val="autoZero"/>
        <c:auto val="1"/>
        <c:lblAlgn val="ctr"/>
        <c:lblOffset val="100"/>
        <c:noMultiLvlLbl val="0"/>
      </c:catAx>
      <c:valAx>
        <c:axId val="58459802"/>
        <c:scaling>
          <c:orientation val="minMax"/>
        </c:scaling>
        <c:delete val="0"/>
        <c:axPos val="l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289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ChartData!F1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c2d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e09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ChartData!$E$2:$E$7</c:f>
              <c:strCache>
                <c:ptCount val="6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Headphones</c:v>
                </c:pt>
                <c:pt idx="4">
                  <c:v>Smart Watch</c:v>
                </c:pt>
                <c:pt idx="5">
                  <c:v>Earbuds</c:v>
                </c:pt>
              </c:strCache>
            </c:strRef>
          </c:cat>
          <c:val>
            <c:numRef>
              <c:f>ChartData!$F$2:$F$7</c:f>
              <c:numCache>
                <c:formatCode>General</c:formatCode>
                <c:ptCount val="6"/>
                <c:pt idx="0">
                  <c:v>22400000</c:v>
                </c:pt>
                <c:pt idx="1">
                  <c:v>14500000</c:v>
                </c:pt>
                <c:pt idx="2">
                  <c:v>8900000</c:v>
                </c:pt>
                <c:pt idx="3">
                  <c:v>5100000</c:v>
                </c:pt>
                <c:pt idx="4">
                  <c:v>6800000</c:v>
                </c:pt>
                <c:pt idx="5">
                  <c:v>3600000</c:v>
                </c:pt>
              </c:numCache>
            </c:numRef>
          </c:val>
        </c:ser>
        <c:gapWidth val="150"/>
        <c:overlap val="0"/>
        <c:axId val="16355960"/>
        <c:axId val="78061160"/>
      </c:barChart>
      <c:catAx>
        <c:axId val="1635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61160"/>
        <c:crosses val="autoZero"/>
        <c:auto val="1"/>
        <c:lblAlgn val="ctr"/>
        <c:lblOffset val="100"/>
        <c:noMultiLvlLbl val="0"/>
      </c:catAx>
      <c:valAx>
        <c:axId val="78061160"/>
        <c:scaling>
          <c:orientation val="minMax"/>
        </c:scaling>
        <c:delete val="0"/>
        <c:axPos val="l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55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ChartData!S1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c2d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8c4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ChartData!$R$2:$R$4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ChartData!$S$2:$S$4</c:f>
              <c:numCache>
                <c:formatCode>General</c:formatCode>
                <c:ptCount val="3"/>
                <c:pt idx="0">
                  <c:v>36500000</c:v>
                </c:pt>
                <c:pt idx="1">
                  <c:v>19800000</c:v>
                </c:pt>
                <c:pt idx="2">
                  <c:v>5600000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ChartData!J1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c2d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e09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ChartData!$I$2:$I$6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ChartData!$J$2:$J$6</c:f>
              <c:numCache>
                <c:formatCode>General</c:formatCode>
                <c:ptCount val="5"/>
                <c:pt idx="0">
                  <c:v>14200000</c:v>
                </c:pt>
                <c:pt idx="1">
                  <c:v>11500000</c:v>
                </c:pt>
                <c:pt idx="2">
                  <c:v>17800000</c:v>
                </c:pt>
                <c:pt idx="3">
                  <c:v>9600000</c:v>
                </c:pt>
                <c:pt idx="4">
                  <c:v>8800000</c:v>
                </c:pt>
              </c:numCache>
            </c:numRef>
          </c:val>
        </c:ser>
        <c:gapWidth val="150"/>
        <c:overlap val="0"/>
        <c:axId val="13873499"/>
        <c:axId val="30074958"/>
      </c:barChart>
      <c:catAx>
        <c:axId val="13873499"/>
        <c:scaling>
          <c:orientation val="minMax"/>
        </c:scaling>
        <c:delete val="0"/>
        <c:axPos val="b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74958"/>
        <c:crosses val="autoZero"/>
        <c:auto val="1"/>
        <c:lblAlgn val="ctr"/>
        <c:lblOffset val="100"/>
        <c:noMultiLvlLbl val="0"/>
      </c:catAx>
      <c:valAx>
        <c:axId val="30074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734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ChartData!C1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e09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4845f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fc3f7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f4c6a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00e09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4845f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140</c:v>
                </c:pt>
                <c:pt idx="3">
                  <c:v>122</c:v>
                </c:pt>
                <c:pt idx="4">
                  <c:v>163</c:v>
                </c:pt>
                <c:pt idx="5">
                  <c:v>170</c:v>
                </c:pt>
                <c:pt idx="6">
                  <c:v>158</c:v>
                </c:pt>
                <c:pt idx="7">
                  <c:v>183</c:v>
                </c:pt>
                <c:pt idx="8">
                  <c:v>207</c:v>
                </c:pt>
                <c:pt idx="9">
                  <c:v>193</c:v>
                </c:pt>
                <c:pt idx="10">
                  <c:v>237</c:v>
                </c:pt>
                <c:pt idx="11">
                  <c:v>280</c:v>
                </c:pt>
              </c:numCache>
            </c:numRef>
          </c:val>
        </c:ser>
        <c:gapWidth val="150"/>
        <c:overlap val="0"/>
        <c:axId val="41390631"/>
        <c:axId val="98450376"/>
      </c:barChart>
      <c:catAx>
        <c:axId val="41390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50376"/>
        <c:crosses val="autoZero"/>
        <c:auto val="1"/>
        <c:lblAlgn val="ctr"/>
        <c:lblOffset val="100"/>
        <c:noMultiLvlLbl val="0"/>
      </c:catAx>
      <c:valAx>
        <c:axId val="984503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906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44</xdr:col>
      <xdr:colOff>264960</xdr:colOff>
      <xdr:row>41</xdr:row>
      <xdr:rowOff>164520</xdr:rowOff>
    </xdr:to>
    <xdr:graphicFrame>
      <xdr:nvGraphicFramePr>
        <xdr:cNvPr id="0" name="Chart 1"/>
        <xdr:cNvGraphicFramePr/>
      </xdr:nvGraphicFramePr>
      <xdr:xfrm>
        <a:off x="56520" y="2543040"/>
        <a:ext cx="158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15</xdr:row>
      <xdr:rowOff>0</xdr:rowOff>
    </xdr:from>
    <xdr:to>
      <xdr:col>44</xdr:col>
      <xdr:colOff>516600</xdr:colOff>
      <xdr:row>41</xdr:row>
      <xdr:rowOff>164520</xdr:rowOff>
    </xdr:to>
    <xdr:graphicFrame>
      <xdr:nvGraphicFramePr>
        <xdr:cNvPr id="1" name="Chart 2"/>
        <xdr:cNvGraphicFramePr/>
      </xdr:nvGraphicFramePr>
      <xdr:xfrm>
        <a:off x="3188160" y="2543040"/>
        <a:ext cx="129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44</xdr:col>
      <xdr:colOff>264960</xdr:colOff>
      <xdr:row>64</xdr:row>
      <xdr:rowOff>164880</xdr:rowOff>
    </xdr:to>
    <xdr:graphicFrame>
      <xdr:nvGraphicFramePr>
        <xdr:cNvPr id="2" name="Chart 3"/>
        <xdr:cNvGraphicFramePr/>
      </xdr:nvGraphicFramePr>
      <xdr:xfrm>
        <a:off x="56520" y="6543720"/>
        <a:ext cx="158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38</xdr:row>
      <xdr:rowOff>0</xdr:rowOff>
    </xdr:from>
    <xdr:to>
      <xdr:col>44</xdr:col>
      <xdr:colOff>516600</xdr:colOff>
      <xdr:row>64</xdr:row>
      <xdr:rowOff>164880</xdr:rowOff>
    </xdr:to>
    <xdr:graphicFrame>
      <xdr:nvGraphicFramePr>
        <xdr:cNvPr id="3" name="Chart 4"/>
        <xdr:cNvGraphicFramePr/>
      </xdr:nvGraphicFramePr>
      <xdr:xfrm>
        <a:off x="3188160" y="6543720"/>
        <a:ext cx="129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44</xdr:col>
      <xdr:colOff>264960</xdr:colOff>
      <xdr:row>87</xdr:row>
      <xdr:rowOff>164520</xdr:rowOff>
    </xdr:to>
    <xdr:graphicFrame>
      <xdr:nvGraphicFramePr>
        <xdr:cNvPr id="4" name="Chart 5"/>
        <xdr:cNvGraphicFramePr/>
      </xdr:nvGraphicFramePr>
      <xdr:xfrm>
        <a:off x="56520" y="10544040"/>
        <a:ext cx="158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61</xdr:row>
      <xdr:rowOff>0</xdr:rowOff>
    </xdr:from>
    <xdr:to>
      <xdr:col>44</xdr:col>
      <xdr:colOff>516600</xdr:colOff>
      <xdr:row>87</xdr:row>
      <xdr:rowOff>164520</xdr:rowOff>
    </xdr:to>
    <xdr:graphicFrame>
      <xdr:nvGraphicFramePr>
        <xdr:cNvPr id="5" name="Chart 6"/>
        <xdr:cNvGraphicFramePr/>
      </xdr:nvGraphicFramePr>
      <xdr:xfrm>
        <a:off x="3188160" y="10544040"/>
        <a:ext cx="129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1</v>
      </c>
      <c r="G1" s="0" t="s">
        <v>2</v>
      </c>
      <c r="I1" s="0" t="s">
        <v>4</v>
      </c>
      <c r="J1" s="0" t="s">
        <v>1</v>
      </c>
      <c r="L1" s="0" t="s">
        <v>5</v>
      </c>
      <c r="M1" s="0" t="s">
        <v>1</v>
      </c>
      <c r="O1" s="0" t="s">
        <v>6</v>
      </c>
      <c r="P1" s="0" t="s">
        <v>1</v>
      </c>
      <c r="R1" s="0" t="s">
        <v>7</v>
      </c>
      <c r="S1" s="0" t="s">
        <v>1</v>
      </c>
    </row>
    <row r="2" customFormat="false" ht="15" hidden="false" customHeight="false" outlineLevel="0" collapsed="false">
      <c r="A2" s="0" t="s">
        <v>8</v>
      </c>
      <c r="B2" s="0" t="n">
        <v>2850000</v>
      </c>
      <c r="C2" s="0" t="n">
        <v>95</v>
      </c>
      <c r="E2" s="0" t="s">
        <v>9</v>
      </c>
      <c r="F2" s="0" t="n">
        <v>22400000</v>
      </c>
      <c r="G2" s="0" t="n">
        <v>280</v>
      </c>
      <c r="I2" s="0" t="s">
        <v>10</v>
      </c>
      <c r="J2" s="0" t="n">
        <v>14200000</v>
      </c>
      <c r="L2" s="0" t="s">
        <v>11</v>
      </c>
      <c r="M2" s="0" t="n">
        <v>55800000</v>
      </c>
      <c r="O2" s="0" t="s">
        <v>12</v>
      </c>
      <c r="P2" s="0" t="n">
        <v>10170000</v>
      </c>
      <c r="R2" s="0" t="s">
        <v>13</v>
      </c>
      <c r="S2" s="0" t="n">
        <v>36500000</v>
      </c>
    </row>
    <row r="3" customFormat="false" ht="15" hidden="false" customHeight="false" outlineLevel="0" collapsed="false">
      <c r="A3" s="0" t="s">
        <v>14</v>
      </c>
      <c r="B3" s="0" t="n">
        <v>3120000</v>
      </c>
      <c r="C3" s="0" t="n">
        <v>108</v>
      </c>
      <c r="E3" s="0" t="s">
        <v>15</v>
      </c>
      <c r="F3" s="0" t="n">
        <v>14500000</v>
      </c>
      <c r="G3" s="0" t="n">
        <v>725</v>
      </c>
      <c r="I3" s="0" t="s">
        <v>16</v>
      </c>
      <c r="J3" s="0" t="n">
        <v>11500000</v>
      </c>
      <c r="L3" s="0" t="s">
        <v>17</v>
      </c>
      <c r="M3" s="0" t="n">
        <v>5700000</v>
      </c>
      <c r="O3" s="0" t="s">
        <v>18</v>
      </c>
      <c r="P3" s="0" t="n">
        <v>13640000</v>
      </c>
      <c r="R3" s="0" t="s">
        <v>19</v>
      </c>
      <c r="S3" s="0" t="n">
        <v>19800000</v>
      </c>
    </row>
    <row r="4" customFormat="false" ht="15" hidden="false" customHeight="false" outlineLevel="0" collapsed="false">
      <c r="A4" s="0" t="s">
        <v>20</v>
      </c>
      <c r="B4" s="0" t="n">
        <v>4200000</v>
      </c>
      <c r="C4" s="0" t="n">
        <v>140</v>
      </c>
      <c r="E4" s="0" t="s">
        <v>21</v>
      </c>
      <c r="F4" s="0" t="n">
        <v>8900000</v>
      </c>
      <c r="G4" s="0" t="n">
        <v>445</v>
      </c>
      <c r="I4" s="0" t="s">
        <v>22</v>
      </c>
      <c r="J4" s="0" t="n">
        <v>17800000</v>
      </c>
      <c r="O4" s="0" t="s">
        <v>23</v>
      </c>
      <c r="P4" s="0" t="n">
        <v>16450000</v>
      </c>
      <c r="R4" s="0" t="s">
        <v>24</v>
      </c>
      <c r="S4" s="0" t="n">
        <v>5600000</v>
      </c>
    </row>
    <row r="5" customFormat="false" ht="15" hidden="false" customHeight="false" outlineLevel="0" collapsed="false">
      <c r="A5" s="0" t="s">
        <v>25</v>
      </c>
      <c r="B5" s="0" t="n">
        <v>3650000</v>
      </c>
      <c r="C5" s="0" t="n">
        <v>122</v>
      </c>
      <c r="E5" s="0" t="s">
        <v>26</v>
      </c>
      <c r="F5" s="0" t="n">
        <v>5100000</v>
      </c>
      <c r="G5" s="0" t="n">
        <v>1275</v>
      </c>
      <c r="I5" s="0" t="s">
        <v>27</v>
      </c>
      <c r="J5" s="0" t="n">
        <v>9600000</v>
      </c>
      <c r="O5" s="0" t="s">
        <v>28</v>
      </c>
      <c r="P5" s="0" t="n">
        <v>21300000</v>
      </c>
    </row>
    <row r="6" customFormat="false" ht="15" hidden="false" customHeight="false" outlineLevel="0" collapsed="false">
      <c r="A6" s="0" t="s">
        <v>29</v>
      </c>
      <c r="B6" s="0" t="n">
        <v>4890000</v>
      </c>
      <c r="C6" s="0" t="n">
        <v>163</v>
      </c>
      <c r="E6" s="0" t="s">
        <v>30</v>
      </c>
      <c r="F6" s="0" t="n">
        <v>6800000</v>
      </c>
      <c r="G6" s="0" t="n">
        <v>1020</v>
      </c>
      <c r="I6" s="0" t="s">
        <v>31</v>
      </c>
      <c r="J6" s="0" t="n">
        <v>8800000</v>
      </c>
    </row>
    <row r="7" customFormat="false" ht="15" hidden="false" customHeight="false" outlineLevel="0" collapsed="false">
      <c r="A7" s="0" t="s">
        <v>32</v>
      </c>
      <c r="B7" s="0" t="n">
        <v>5100000</v>
      </c>
      <c r="C7" s="0" t="n">
        <v>170</v>
      </c>
      <c r="E7" s="0" t="s">
        <v>33</v>
      </c>
      <c r="F7" s="0" t="n">
        <v>3600000</v>
      </c>
      <c r="G7" s="0" t="n">
        <v>1800</v>
      </c>
    </row>
    <row r="8" customFormat="false" ht="15" hidden="false" customHeight="false" outlineLevel="0" collapsed="false">
      <c r="A8" s="0" t="s">
        <v>34</v>
      </c>
      <c r="B8" s="0" t="n">
        <v>4750000</v>
      </c>
      <c r="C8" s="0" t="n">
        <v>158</v>
      </c>
    </row>
    <row r="9" customFormat="false" ht="15" hidden="false" customHeight="false" outlineLevel="0" collapsed="false">
      <c r="A9" s="0" t="s">
        <v>35</v>
      </c>
      <c r="B9" s="0" t="n">
        <v>5500000</v>
      </c>
      <c r="C9" s="0" t="n">
        <v>183</v>
      </c>
    </row>
    <row r="10" customFormat="false" ht="15" hidden="false" customHeight="false" outlineLevel="0" collapsed="false">
      <c r="A10" s="0" t="s">
        <v>36</v>
      </c>
      <c r="B10" s="0" t="n">
        <v>6200000</v>
      </c>
      <c r="C10" s="0" t="n">
        <v>207</v>
      </c>
    </row>
    <row r="11" customFormat="false" ht="15" hidden="false" customHeight="false" outlineLevel="0" collapsed="false">
      <c r="A11" s="0" t="s">
        <v>37</v>
      </c>
      <c r="B11" s="0" t="n">
        <v>5800000</v>
      </c>
      <c r="C11" s="0" t="n">
        <v>193</v>
      </c>
    </row>
    <row r="12" customFormat="false" ht="15" hidden="false" customHeight="false" outlineLevel="0" collapsed="false">
      <c r="A12" s="0" t="s">
        <v>38</v>
      </c>
      <c r="B12" s="0" t="n">
        <v>7100000</v>
      </c>
      <c r="C12" s="0" t="n">
        <v>237</v>
      </c>
    </row>
    <row r="13" customFormat="false" ht="15" hidden="false" customHeight="false" outlineLevel="0" collapsed="false">
      <c r="A13" s="0" t="s">
        <v>39</v>
      </c>
      <c r="B13" s="0" t="n">
        <v>8400000</v>
      </c>
      <c r="C13" s="0" t="n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AE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8"/>
    <col collapsed="false" customWidth="true" hidden="false" outlineLevel="0" max="30" min="2" style="0" width="3.7"/>
    <col collapsed="false" customWidth="true" hidden="false" outlineLevel="0" max="31" min="31" style="0" width="0.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39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9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Format="false" ht="18" hidden="false" customHeight="true" outlineLevel="0" collapsed="false">
      <c r="A5" s="1"/>
      <c r="B5" s="4" t="s">
        <v>41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6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customFormat="false" ht="3.75" hidden="false" customHeight="true" outlineLevel="0" collapsed="false">
      <c r="A7" s="1"/>
      <c r="B7" s="5"/>
      <c r="C7" s="5"/>
      <c r="D7" s="5"/>
      <c r="E7" s="5"/>
      <c r="F7" s="1"/>
      <c r="G7" s="1"/>
      <c r="H7" s="6"/>
      <c r="I7" s="6"/>
      <c r="J7" s="6"/>
      <c r="K7" s="6"/>
      <c r="L7" s="1"/>
      <c r="M7" s="1"/>
      <c r="N7" s="7"/>
      <c r="O7" s="7"/>
      <c r="P7" s="7"/>
      <c r="Q7" s="7"/>
      <c r="R7" s="1"/>
      <c r="S7" s="1"/>
      <c r="T7" s="8"/>
      <c r="U7" s="8"/>
      <c r="V7" s="8"/>
      <c r="W7" s="8"/>
      <c r="X7" s="1"/>
      <c r="Y7" s="1"/>
      <c r="Z7" s="9"/>
      <c r="AA7" s="9"/>
      <c r="AB7" s="9"/>
      <c r="AC7" s="9"/>
      <c r="AD7" s="1"/>
      <c r="AE7" s="1"/>
    </row>
    <row r="8" customFormat="false" ht="15" hidden="false" customHeight="true" outlineLevel="0" collapsed="false">
      <c r="A8" s="1"/>
      <c r="B8" s="10" t="s">
        <v>42</v>
      </c>
      <c r="C8" s="10"/>
      <c r="D8" s="10"/>
      <c r="E8" s="10"/>
      <c r="F8" s="1"/>
      <c r="G8" s="1"/>
      <c r="H8" s="10" t="s">
        <v>43</v>
      </c>
      <c r="I8" s="10"/>
      <c r="J8" s="10"/>
      <c r="K8" s="10"/>
      <c r="L8" s="1"/>
      <c r="M8" s="1"/>
      <c r="N8" s="10" t="s">
        <v>44</v>
      </c>
      <c r="O8" s="10"/>
      <c r="P8" s="10"/>
      <c r="Q8" s="10"/>
      <c r="R8" s="1"/>
      <c r="S8" s="1"/>
      <c r="T8" s="10" t="s">
        <v>45</v>
      </c>
      <c r="U8" s="10"/>
      <c r="V8" s="10"/>
      <c r="W8" s="10"/>
      <c r="X8" s="1"/>
      <c r="Y8" s="1"/>
      <c r="Z8" s="10" t="s">
        <v>46</v>
      </c>
      <c r="AA8" s="10"/>
      <c r="AB8" s="10"/>
      <c r="AC8" s="10"/>
      <c r="AD8" s="1"/>
      <c r="AE8" s="1"/>
    </row>
    <row r="9" customFormat="false" ht="15.75" hidden="false" customHeight="true" outlineLevel="0" collapsed="false">
      <c r="A9" s="1"/>
      <c r="B9" s="11" t="n">
        <f aca="false">SUMIF('📋 Sales Dataset'!D:D,"&gt;0",'📋 Sales Dataset'!K:K)</f>
        <v>0</v>
      </c>
      <c r="C9" s="11"/>
      <c r="D9" s="11"/>
      <c r="E9" s="11"/>
      <c r="F9" s="1"/>
      <c r="G9" s="1"/>
      <c r="H9" s="12" t="n">
        <f aca="false">SUM('📋 Sales Dataset'!I3:I50)</f>
        <v>1397</v>
      </c>
      <c r="I9" s="12"/>
      <c r="J9" s="12"/>
      <c r="K9" s="12"/>
      <c r="L9" s="1"/>
      <c r="M9" s="1"/>
      <c r="N9" s="13" t="n">
        <f aca="false">COUNTA('📋 Sales Dataset'!A3:A50)</f>
        <v>48</v>
      </c>
      <c r="O9" s="13"/>
      <c r="P9" s="13"/>
      <c r="Q9" s="13"/>
      <c r="R9" s="1"/>
      <c r="S9" s="1"/>
      <c r="T9" s="14" t="str">
        <f aca="false">INDEX('🏆 Products'!A3:A8,MATCH(MIN('🏆 Products'!G3:G8),'🏆 Products'!G3:G8,0))</f>
        <v>Laptop</v>
      </c>
      <c r="U9" s="14"/>
      <c r="V9" s="14"/>
      <c r="W9" s="14"/>
      <c r="X9" s="1"/>
      <c r="Y9" s="1"/>
      <c r="Z9" s="15" t="str">
        <f aca="false">INDEX('🌍 Regional Analysis'!A3:A7,MATCH(MIN('🌍 Regional Analysis'!F3:F7),'🌍 Regional Analysis'!F3:F7,0))</f>
        <v>East</v>
      </c>
      <c r="AA9" s="15"/>
      <c r="AB9" s="15"/>
      <c r="AC9" s="15"/>
      <c r="AD9" s="1"/>
      <c r="AE9" s="1"/>
    </row>
    <row r="10" customFormat="false" ht="15.75" hidden="false" customHeight="true" outlineLevel="0" collapsed="false">
      <c r="A10" s="1"/>
      <c r="B10" s="11"/>
      <c r="C10" s="11"/>
      <c r="D10" s="11"/>
      <c r="E10" s="11"/>
      <c r="F10" s="1"/>
      <c r="G10" s="1"/>
      <c r="H10" s="12"/>
      <c r="I10" s="12"/>
      <c r="J10" s="12"/>
      <c r="K10" s="12"/>
      <c r="L10" s="1"/>
      <c r="M10" s="1"/>
      <c r="N10" s="13"/>
      <c r="O10" s="13"/>
      <c r="P10" s="13"/>
      <c r="Q10" s="13"/>
      <c r="R10" s="1"/>
      <c r="S10" s="1"/>
      <c r="T10" s="14"/>
      <c r="U10" s="14"/>
      <c r="V10" s="14"/>
      <c r="W10" s="14"/>
      <c r="X10" s="1"/>
      <c r="Y10" s="1"/>
      <c r="Z10" s="15"/>
      <c r="AA10" s="15"/>
      <c r="AB10" s="15"/>
      <c r="AC10" s="15"/>
      <c r="AD10" s="1"/>
      <c r="AE10" s="1"/>
    </row>
    <row r="11" customFormat="false" ht="15.75" hidden="false" customHeight="true" outlineLevel="0" collapsed="false">
      <c r="A11" s="1"/>
      <c r="B11" s="11"/>
      <c r="C11" s="11"/>
      <c r="D11" s="11"/>
      <c r="E11" s="11"/>
      <c r="F11" s="1"/>
      <c r="G11" s="1"/>
      <c r="H11" s="12"/>
      <c r="I11" s="12"/>
      <c r="J11" s="12"/>
      <c r="K11" s="12"/>
      <c r="L11" s="1"/>
      <c r="M11" s="1"/>
      <c r="N11" s="13"/>
      <c r="O11" s="13"/>
      <c r="P11" s="13"/>
      <c r="Q11" s="13"/>
      <c r="R11" s="1"/>
      <c r="S11" s="1"/>
      <c r="T11" s="14"/>
      <c r="U11" s="14"/>
      <c r="V11" s="14"/>
      <c r="W11" s="14"/>
      <c r="X11" s="1"/>
      <c r="Y11" s="1"/>
      <c r="Z11" s="15"/>
      <c r="AA11" s="15"/>
      <c r="AB11" s="15"/>
      <c r="AC11" s="15"/>
      <c r="AD11" s="1"/>
      <c r="AE11" s="1"/>
    </row>
    <row r="12" customFormat="false" ht="13.5" hidden="false" customHeight="true" outlineLevel="0" collapsed="false">
      <c r="A12" s="1"/>
      <c r="B12" s="16" t="s">
        <v>47</v>
      </c>
      <c r="C12" s="16"/>
      <c r="D12" s="16"/>
      <c r="E12" s="16"/>
      <c r="F12" s="1"/>
      <c r="G12" s="1"/>
      <c r="H12" s="16" t="s">
        <v>48</v>
      </c>
      <c r="I12" s="16"/>
      <c r="J12" s="16"/>
      <c r="K12" s="16"/>
      <c r="L12" s="1"/>
      <c r="M12" s="1"/>
      <c r="N12" s="16" t="s">
        <v>49</v>
      </c>
      <c r="O12" s="16"/>
      <c r="P12" s="16"/>
      <c r="Q12" s="16"/>
      <c r="R12" s="1"/>
      <c r="S12" s="1"/>
      <c r="T12" s="16" t="s">
        <v>50</v>
      </c>
      <c r="U12" s="16"/>
      <c r="V12" s="16"/>
      <c r="W12" s="16"/>
      <c r="X12" s="1"/>
      <c r="Y12" s="1"/>
      <c r="Z12" s="16" t="s">
        <v>51</v>
      </c>
      <c r="AA12" s="16"/>
      <c r="AB12" s="16"/>
      <c r="AC12" s="16"/>
      <c r="AD12" s="1"/>
      <c r="AE12" s="1"/>
    </row>
    <row r="13" customFormat="false" ht="6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customFormat="false" ht="13.5" hidden="false" customHeight="true" outlineLevel="0" collapsed="false">
      <c r="A14" s="1"/>
      <c r="B14" s="17"/>
      <c r="C14" s="17"/>
      <c r="D14" s="17"/>
      <c r="E14" s="17"/>
      <c r="F14" s="1"/>
      <c r="G14" s="1"/>
      <c r="H14" s="17"/>
      <c r="I14" s="17"/>
      <c r="J14" s="17"/>
      <c r="K14" s="17"/>
      <c r="L14" s="1"/>
      <c r="M14" s="1"/>
      <c r="N14" s="17"/>
      <c r="O14" s="17"/>
      <c r="P14" s="17"/>
      <c r="Q14" s="17"/>
      <c r="R14" s="1"/>
      <c r="S14" s="1"/>
      <c r="T14" s="17"/>
      <c r="U14" s="17"/>
      <c r="V14" s="17"/>
      <c r="W14" s="17"/>
      <c r="X14" s="1"/>
      <c r="Y14" s="1"/>
      <c r="Z14" s="17"/>
      <c r="AA14" s="17"/>
      <c r="AB14" s="17"/>
      <c r="AC14" s="17"/>
      <c r="AD14" s="1"/>
      <c r="AE14" s="1"/>
    </row>
    <row r="15" customFormat="false" ht="18" hidden="false" customHeight="true" outlineLevel="0" collapsed="false">
      <c r="A15" s="1"/>
      <c r="B15" s="18" t="s">
        <v>52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customFormat="false" ht="13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customFormat="false" ht="13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customFormat="false" ht="13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customFormat="false" ht="13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customFormat="false" ht="13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customFormat="false" ht="13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customFormat="false" ht="13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customFormat="false" ht="18" hidden="false" customHeight="true" outlineLevel="0" collapsed="false">
      <c r="A38" s="1"/>
      <c r="B38" s="18" t="s">
        <v>53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customFormat="false" ht="13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customFormat="false" ht="13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customFormat="false" ht="13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customFormat="false" ht="13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customFormat="false" ht="13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customFormat="false" ht="13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customFormat="false" ht="13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customFormat="false" ht="13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customFormat="false" ht="13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customFormat="false" ht="13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customFormat="false" ht="13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customFormat="false" ht="13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customFormat="false" ht="13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customFormat="false" ht="18" hidden="false" customHeight="true" outlineLevel="0" collapsed="false">
      <c r="A61" s="1"/>
      <c r="B61" s="18" t="s">
        <v>54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customFormat="false" ht="13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customFormat="false" ht="13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customFormat="false" ht="13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customFormat="false" ht="13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customFormat="false" ht="13.5" hidden="false" customHeight="true" outlineLevel="0" collapsed="false">
      <c r="A82" s="19" t="s">
        <v>55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</sheetData>
  <mergeCells count="22">
    <mergeCell ref="A2:AE2"/>
    <mergeCell ref="A3:AE3"/>
    <mergeCell ref="B5:AE5"/>
    <mergeCell ref="B8:E8"/>
    <mergeCell ref="H8:K8"/>
    <mergeCell ref="N8:Q8"/>
    <mergeCell ref="T8:W8"/>
    <mergeCell ref="Z8:AC8"/>
    <mergeCell ref="B9:E11"/>
    <mergeCell ref="H9:K11"/>
    <mergeCell ref="N9:Q11"/>
    <mergeCell ref="T9:W11"/>
    <mergeCell ref="Z9:AC11"/>
    <mergeCell ref="B12:E12"/>
    <mergeCell ref="H12:K12"/>
    <mergeCell ref="N12:Q12"/>
    <mergeCell ref="T12:W12"/>
    <mergeCell ref="Z12:AC12"/>
    <mergeCell ref="B15:AE15"/>
    <mergeCell ref="B38:AE38"/>
    <mergeCell ref="B61:AE61"/>
    <mergeCell ref="A82:AE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2D4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1" min="10" style="0" width="14"/>
    <col collapsed="false" customWidth="true" hidden="false" outlineLevel="0" max="12" min="12" style="0" width="16"/>
  </cols>
  <sheetData>
    <row r="1" customFormat="false" ht="33.75" hidden="false" customHeight="true" outlineLevel="0" collapsed="false">
      <c r="A1" s="20" t="s">
        <v>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21.75" hidden="false" customHeight="true" outlineLevel="0" collapsed="false">
      <c r="A2" s="21" t="s">
        <v>57</v>
      </c>
      <c r="B2" s="21" t="s">
        <v>58</v>
      </c>
      <c r="C2" s="21" t="s">
        <v>0</v>
      </c>
      <c r="D2" s="21" t="s">
        <v>6</v>
      </c>
      <c r="E2" s="21" t="s">
        <v>4</v>
      </c>
      <c r="F2" s="21" t="s">
        <v>7</v>
      </c>
      <c r="G2" s="21" t="s">
        <v>3</v>
      </c>
      <c r="H2" s="21" t="s">
        <v>5</v>
      </c>
      <c r="I2" s="21" t="s">
        <v>2</v>
      </c>
      <c r="J2" s="21" t="s">
        <v>59</v>
      </c>
      <c r="K2" s="21" t="s">
        <v>60</v>
      </c>
      <c r="L2" s="21" t="s">
        <v>61</v>
      </c>
    </row>
    <row r="3" customFormat="false" ht="16.5" hidden="false" customHeight="true" outlineLevel="0" collapsed="false">
      <c r="A3" s="22" t="s">
        <v>62</v>
      </c>
      <c r="B3" s="22" t="s">
        <v>63</v>
      </c>
      <c r="C3" s="22" t="s">
        <v>64</v>
      </c>
      <c r="D3" s="22" t="s">
        <v>12</v>
      </c>
      <c r="E3" s="22" t="s">
        <v>10</v>
      </c>
      <c r="F3" s="22" t="s">
        <v>13</v>
      </c>
      <c r="G3" s="22" t="s">
        <v>9</v>
      </c>
      <c r="H3" s="22" t="s">
        <v>11</v>
      </c>
      <c r="I3" s="23" t="n">
        <v>3</v>
      </c>
      <c r="J3" s="24" t="n">
        <v>55000</v>
      </c>
      <c r="K3" s="24" t="n">
        <f aca="false">I3*J3</f>
        <v>165000</v>
      </c>
      <c r="L3" s="22" t="s">
        <v>65</v>
      </c>
    </row>
    <row r="4" customFormat="false" ht="16.5" hidden="false" customHeight="true" outlineLevel="0" collapsed="false">
      <c r="A4" s="25" t="s">
        <v>66</v>
      </c>
      <c r="B4" s="25" t="s">
        <v>67</v>
      </c>
      <c r="C4" s="25" t="s">
        <v>64</v>
      </c>
      <c r="D4" s="25" t="s">
        <v>12</v>
      </c>
      <c r="E4" s="25" t="s">
        <v>16</v>
      </c>
      <c r="F4" s="25" t="s">
        <v>19</v>
      </c>
      <c r="G4" s="25" t="s">
        <v>15</v>
      </c>
      <c r="H4" s="25" t="s">
        <v>11</v>
      </c>
      <c r="I4" s="26" t="n">
        <v>8</v>
      </c>
      <c r="J4" s="27" t="n">
        <v>15000</v>
      </c>
      <c r="K4" s="27" t="n">
        <f aca="false">I4*J4</f>
        <v>120000</v>
      </c>
      <c r="L4" s="25" t="s">
        <v>68</v>
      </c>
    </row>
    <row r="5" customFormat="false" ht="16.5" hidden="false" customHeight="true" outlineLevel="0" collapsed="false">
      <c r="A5" s="22" t="s">
        <v>69</v>
      </c>
      <c r="B5" s="22" t="s">
        <v>70</v>
      </c>
      <c r="C5" s="22" t="s">
        <v>64</v>
      </c>
      <c r="D5" s="22" t="s">
        <v>12</v>
      </c>
      <c r="E5" s="22" t="s">
        <v>22</v>
      </c>
      <c r="F5" s="22" t="s">
        <v>13</v>
      </c>
      <c r="G5" s="22" t="s">
        <v>30</v>
      </c>
      <c r="H5" s="22" t="s">
        <v>11</v>
      </c>
      <c r="I5" s="23" t="n">
        <v>12</v>
      </c>
      <c r="J5" s="24" t="n">
        <v>18000</v>
      </c>
      <c r="K5" s="24" t="n">
        <f aca="false">I5*J5</f>
        <v>216000</v>
      </c>
      <c r="L5" s="22" t="s">
        <v>71</v>
      </c>
    </row>
    <row r="6" customFormat="false" ht="16.5" hidden="false" customHeight="true" outlineLevel="0" collapsed="false">
      <c r="A6" s="25" t="s">
        <v>72</v>
      </c>
      <c r="B6" s="25" t="s">
        <v>73</v>
      </c>
      <c r="C6" s="25" t="s">
        <v>64</v>
      </c>
      <c r="D6" s="25" t="s">
        <v>12</v>
      </c>
      <c r="E6" s="25" t="s">
        <v>27</v>
      </c>
      <c r="F6" s="25" t="s">
        <v>24</v>
      </c>
      <c r="G6" s="25" t="s">
        <v>26</v>
      </c>
      <c r="H6" s="25" t="s">
        <v>17</v>
      </c>
      <c r="I6" s="26" t="n">
        <v>20</v>
      </c>
      <c r="J6" s="27" t="n">
        <v>3500</v>
      </c>
      <c r="K6" s="27" t="n">
        <f aca="false">I6*J6</f>
        <v>70000</v>
      </c>
      <c r="L6" s="25" t="s">
        <v>74</v>
      </c>
    </row>
    <row r="7" customFormat="false" ht="16.5" hidden="false" customHeight="true" outlineLevel="0" collapsed="false">
      <c r="A7" s="22" t="s">
        <v>75</v>
      </c>
      <c r="B7" s="22" t="s">
        <v>76</v>
      </c>
      <c r="C7" s="22" t="s">
        <v>77</v>
      </c>
      <c r="D7" s="22" t="s">
        <v>12</v>
      </c>
      <c r="E7" s="22" t="s">
        <v>10</v>
      </c>
      <c r="F7" s="22" t="s">
        <v>13</v>
      </c>
      <c r="G7" s="22" t="s">
        <v>21</v>
      </c>
      <c r="H7" s="22" t="s">
        <v>11</v>
      </c>
      <c r="I7" s="23" t="n">
        <v>6</v>
      </c>
      <c r="J7" s="24" t="n">
        <v>22000</v>
      </c>
      <c r="K7" s="24" t="n">
        <f aca="false">I7*J7</f>
        <v>132000</v>
      </c>
      <c r="L7" s="22" t="s">
        <v>65</v>
      </c>
    </row>
    <row r="8" customFormat="false" ht="16.5" hidden="false" customHeight="true" outlineLevel="0" collapsed="false">
      <c r="A8" s="25" t="s">
        <v>78</v>
      </c>
      <c r="B8" s="25" t="s">
        <v>79</v>
      </c>
      <c r="C8" s="25" t="s">
        <v>77</v>
      </c>
      <c r="D8" s="25" t="s">
        <v>12</v>
      </c>
      <c r="E8" s="25" t="s">
        <v>31</v>
      </c>
      <c r="F8" s="25" t="s">
        <v>19</v>
      </c>
      <c r="G8" s="25" t="s">
        <v>15</v>
      </c>
      <c r="H8" s="25" t="s">
        <v>11</v>
      </c>
      <c r="I8" s="26" t="n">
        <v>10</v>
      </c>
      <c r="J8" s="27" t="n">
        <v>15000</v>
      </c>
      <c r="K8" s="27" t="n">
        <f aca="false">I8*J8</f>
        <v>150000</v>
      </c>
      <c r="L8" s="25" t="s">
        <v>80</v>
      </c>
    </row>
    <row r="9" customFormat="false" ht="16.5" hidden="false" customHeight="true" outlineLevel="0" collapsed="false">
      <c r="A9" s="22" t="s">
        <v>81</v>
      </c>
      <c r="B9" s="22" t="s">
        <v>82</v>
      </c>
      <c r="C9" s="22" t="s">
        <v>77</v>
      </c>
      <c r="D9" s="22" t="s">
        <v>12</v>
      </c>
      <c r="E9" s="22" t="s">
        <v>16</v>
      </c>
      <c r="F9" s="22" t="s">
        <v>13</v>
      </c>
      <c r="G9" s="22" t="s">
        <v>33</v>
      </c>
      <c r="H9" s="22" t="s">
        <v>17</v>
      </c>
      <c r="I9" s="23" t="n">
        <v>25</v>
      </c>
      <c r="J9" s="24" t="n">
        <v>2800</v>
      </c>
      <c r="K9" s="24" t="n">
        <f aca="false">I9*J9</f>
        <v>70000</v>
      </c>
      <c r="L9" s="22" t="s">
        <v>68</v>
      </c>
    </row>
    <row r="10" customFormat="false" ht="16.5" hidden="false" customHeight="true" outlineLevel="0" collapsed="false">
      <c r="A10" s="25" t="s">
        <v>83</v>
      </c>
      <c r="B10" s="25" t="s">
        <v>84</v>
      </c>
      <c r="C10" s="25" t="s">
        <v>77</v>
      </c>
      <c r="D10" s="25" t="s">
        <v>12</v>
      </c>
      <c r="E10" s="25" t="s">
        <v>22</v>
      </c>
      <c r="F10" s="25" t="s">
        <v>13</v>
      </c>
      <c r="G10" s="25" t="s">
        <v>9</v>
      </c>
      <c r="H10" s="25" t="s">
        <v>11</v>
      </c>
      <c r="I10" s="26" t="n">
        <v>4</v>
      </c>
      <c r="J10" s="27" t="n">
        <v>55000</v>
      </c>
      <c r="K10" s="27" t="n">
        <f aca="false">I10*J10</f>
        <v>220000</v>
      </c>
      <c r="L10" s="25" t="s">
        <v>71</v>
      </c>
    </row>
    <row r="11" customFormat="false" ht="16.5" hidden="false" customHeight="true" outlineLevel="0" collapsed="false">
      <c r="A11" s="22" t="s">
        <v>85</v>
      </c>
      <c r="B11" s="22" t="s">
        <v>86</v>
      </c>
      <c r="C11" s="22" t="s">
        <v>87</v>
      </c>
      <c r="D11" s="22" t="s">
        <v>12</v>
      </c>
      <c r="E11" s="22" t="s">
        <v>10</v>
      </c>
      <c r="F11" s="22" t="s">
        <v>19</v>
      </c>
      <c r="G11" s="22" t="s">
        <v>30</v>
      </c>
      <c r="H11" s="22" t="s">
        <v>11</v>
      </c>
      <c r="I11" s="23" t="n">
        <v>15</v>
      </c>
      <c r="J11" s="24" t="n">
        <v>18000</v>
      </c>
      <c r="K11" s="24" t="n">
        <f aca="false">I11*J11</f>
        <v>270000</v>
      </c>
      <c r="L11" s="22" t="s">
        <v>65</v>
      </c>
    </row>
    <row r="12" customFormat="false" ht="16.5" hidden="false" customHeight="true" outlineLevel="0" collapsed="false">
      <c r="A12" s="25" t="s">
        <v>88</v>
      </c>
      <c r="B12" s="25" t="s">
        <v>89</v>
      </c>
      <c r="C12" s="25" t="s">
        <v>87</v>
      </c>
      <c r="D12" s="25" t="s">
        <v>12</v>
      </c>
      <c r="E12" s="25" t="s">
        <v>27</v>
      </c>
      <c r="F12" s="25" t="s">
        <v>13</v>
      </c>
      <c r="G12" s="25" t="s">
        <v>15</v>
      </c>
      <c r="H12" s="25" t="s">
        <v>11</v>
      </c>
      <c r="I12" s="26" t="n">
        <v>12</v>
      </c>
      <c r="J12" s="27" t="n">
        <v>15000</v>
      </c>
      <c r="K12" s="27" t="n">
        <f aca="false">I12*J12</f>
        <v>180000</v>
      </c>
      <c r="L12" s="25" t="s">
        <v>74</v>
      </c>
    </row>
    <row r="13" customFormat="false" ht="16.5" hidden="false" customHeight="true" outlineLevel="0" collapsed="false">
      <c r="A13" s="22" t="s">
        <v>90</v>
      </c>
      <c r="B13" s="22" t="s">
        <v>91</v>
      </c>
      <c r="C13" s="22" t="s">
        <v>87</v>
      </c>
      <c r="D13" s="22" t="s">
        <v>12</v>
      </c>
      <c r="E13" s="22" t="s">
        <v>22</v>
      </c>
      <c r="F13" s="22" t="s">
        <v>24</v>
      </c>
      <c r="G13" s="22" t="s">
        <v>21</v>
      </c>
      <c r="H13" s="22" t="s">
        <v>11</v>
      </c>
      <c r="I13" s="23" t="n">
        <v>8</v>
      </c>
      <c r="J13" s="24" t="n">
        <v>22000</v>
      </c>
      <c r="K13" s="24" t="n">
        <f aca="false">I13*J13</f>
        <v>176000</v>
      </c>
      <c r="L13" s="22" t="s">
        <v>71</v>
      </c>
    </row>
    <row r="14" customFormat="false" ht="16.5" hidden="false" customHeight="true" outlineLevel="0" collapsed="false">
      <c r="A14" s="25" t="s">
        <v>92</v>
      </c>
      <c r="B14" s="25" t="s">
        <v>93</v>
      </c>
      <c r="C14" s="25" t="s">
        <v>87</v>
      </c>
      <c r="D14" s="25" t="s">
        <v>12</v>
      </c>
      <c r="E14" s="25" t="s">
        <v>31</v>
      </c>
      <c r="F14" s="25" t="s">
        <v>13</v>
      </c>
      <c r="G14" s="25" t="s">
        <v>26</v>
      </c>
      <c r="H14" s="25" t="s">
        <v>17</v>
      </c>
      <c r="I14" s="26" t="n">
        <v>30</v>
      </c>
      <c r="J14" s="27" t="n">
        <v>3500</v>
      </c>
      <c r="K14" s="27" t="n">
        <f aca="false">I14*J14</f>
        <v>105000</v>
      </c>
      <c r="L14" s="25" t="s">
        <v>80</v>
      </c>
    </row>
    <row r="15" customFormat="false" ht="16.5" hidden="false" customHeight="true" outlineLevel="0" collapsed="false">
      <c r="A15" s="22" t="s">
        <v>94</v>
      </c>
      <c r="B15" s="22" t="s">
        <v>95</v>
      </c>
      <c r="C15" s="22" t="s">
        <v>96</v>
      </c>
      <c r="D15" s="22" t="s">
        <v>18</v>
      </c>
      <c r="E15" s="22" t="s">
        <v>16</v>
      </c>
      <c r="F15" s="22" t="s">
        <v>19</v>
      </c>
      <c r="G15" s="22" t="s">
        <v>9</v>
      </c>
      <c r="H15" s="22" t="s">
        <v>11</v>
      </c>
      <c r="I15" s="23" t="n">
        <v>5</v>
      </c>
      <c r="J15" s="24" t="n">
        <v>55000</v>
      </c>
      <c r="K15" s="24" t="n">
        <f aca="false">I15*J15</f>
        <v>275000</v>
      </c>
      <c r="L15" s="22" t="s">
        <v>68</v>
      </c>
    </row>
    <row r="16" customFormat="false" ht="16.5" hidden="false" customHeight="true" outlineLevel="0" collapsed="false">
      <c r="A16" s="25" t="s">
        <v>97</v>
      </c>
      <c r="B16" s="25" t="s">
        <v>98</v>
      </c>
      <c r="C16" s="25" t="s">
        <v>96</v>
      </c>
      <c r="D16" s="25" t="s">
        <v>18</v>
      </c>
      <c r="E16" s="25" t="s">
        <v>10</v>
      </c>
      <c r="F16" s="25" t="s">
        <v>13</v>
      </c>
      <c r="G16" s="25" t="s">
        <v>33</v>
      </c>
      <c r="H16" s="25" t="s">
        <v>17</v>
      </c>
      <c r="I16" s="26" t="n">
        <v>40</v>
      </c>
      <c r="J16" s="27" t="n">
        <v>2800</v>
      </c>
      <c r="K16" s="27" t="n">
        <f aca="false">I16*J16</f>
        <v>112000</v>
      </c>
      <c r="L16" s="25" t="s">
        <v>65</v>
      </c>
    </row>
    <row r="17" customFormat="false" ht="16.5" hidden="false" customHeight="true" outlineLevel="0" collapsed="false">
      <c r="A17" s="22" t="s">
        <v>99</v>
      </c>
      <c r="B17" s="22" t="s">
        <v>100</v>
      </c>
      <c r="C17" s="22" t="s">
        <v>96</v>
      </c>
      <c r="D17" s="22" t="s">
        <v>18</v>
      </c>
      <c r="E17" s="22" t="s">
        <v>22</v>
      </c>
      <c r="F17" s="22" t="s">
        <v>13</v>
      </c>
      <c r="G17" s="22" t="s">
        <v>15</v>
      </c>
      <c r="H17" s="22" t="s">
        <v>11</v>
      </c>
      <c r="I17" s="23" t="n">
        <v>14</v>
      </c>
      <c r="J17" s="24" t="n">
        <v>15000</v>
      </c>
      <c r="K17" s="24" t="n">
        <f aca="false">I17*J17</f>
        <v>210000</v>
      </c>
      <c r="L17" s="22" t="s">
        <v>71</v>
      </c>
    </row>
    <row r="18" customFormat="false" ht="16.5" hidden="false" customHeight="true" outlineLevel="0" collapsed="false">
      <c r="A18" s="25" t="s">
        <v>101</v>
      </c>
      <c r="B18" s="25" t="s">
        <v>102</v>
      </c>
      <c r="C18" s="25" t="s">
        <v>96</v>
      </c>
      <c r="D18" s="25" t="s">
        <v>18</v>
      </c>
      <c r="E18" s="25" t="s">
        <v>27</v>
      </c>
      <c r="F18" s="25" t="s">
        <v>19</v>
      </c>
      <c r="G18" s="25" t="s">
        <v>30</v>
      </c>
      <c r="H18" s="25" t="s">
        <v>11</v>
      </c>
      <c r="I18" s="26" t="n">
        <v>18</v>
      </c>
      <c r="J18" s="27" t="n">
        <v>18000</v>
      </c>
      <c r="K18" s="27" t="n">
        <f aca="false">I18*J18</f>
        <v>324000</v>
      </c>
      <c r="L18" s="25" t="s">
        <v>74</v>
      </c>
    </row>
    <row r="19" customFormat="false" ht="16.5" hidden="false" customHeight="true" outlineLevel="0" collapsed="false">
      <c r="A19" s="22" t="s">
        <v>103</v>
      </c>
      <c r="B19" s="22" t="s">
        <v>104</v>
      </c>
      <c r="C19" s="22" t="s">
        <v>29</v>
      </c>
      <c r="D19" s="22" t="s">
        <v>18</v>
      </c>
      <c r="E19" s="22" t="s">
        <v>31</v>
      </c>
      <c r="F19" s="22" t="s">
        <v>13</v>
      </c>
      <c r="G19" s="22" t="s">
        <v>9</v>
      </c>
      <c r="H19" s="22" t="s">
        <v>11</v>
      </c>
      <c r="I19" s="23" t="n">
        <v>7</v>
      </c>
      <c r="J19" s="24" t="n">
        <v>55000</v>
      </c>
      <c r="K19" s="24" t="n">
        <f aca="false">I19*J19</f>
        <v>385000</v>
      </c>
      <c r="L19" s="22" t="s">
        <v>80</v>
      </c>
    </row>
    <row r="20" customFormat="false" ht="16.5" hidden="false" customHeight="true" outlineLevel="0" collapsed="false">
      <c r="A20" s="25" t="s">
        <v>105</v>
      </c>
      <c r="B20" s="25" t="s">
        <v>106</v>
      </c>
      <c r="C20" s="25" t="s">
        <v>29</v>
      </c>
      <c r="D20" s="25" t="s">
        <v>18</v>
      </c>
      <c r="E20" s="25" t="s">
        <v>10</v>
      </c>
      <c r="F20" s="25" t="s">
        <v>24</v>
      </c>
      <c r="G20" s="25" t="s">
        <v>21</v>
      </c>
      <c r="H20" s="25" t="s">
        <v>11</v>
      </c>
      <c r="I20" s="26" t="n">
        <v>10</v>
      </c>
      <c r="J20" s="27" t="n">
        <v>22000</v>
      </c>
      <c r="K20" s="27" t="n">
        <f aca="false">I20*J20</f>
        <v>220000</v>
      </c>
      <c r="L20" s="25" t="s">
        <v>65</v>
      </c>
    </row>
    <row r="21" customFormat="false" ht="16.5" hidden="false" customHeight="true" outlineLevel="0" collapsed="false">
      <c r="A21" s="22" t="s">
        <v>107</v>
      </c>
      <c r="B21" s="22" t="s">
        <v>108</v>
      </c>
      <c r="C21" s="22" t="s">
        <v>29</v>
      </c>
      <c r="D21" s="22" t="s">
        <v>18</v>
      </c>
      <c r="E21" s="22" t="s">
        <v>16</v>
      </c>
      <c r="F21" s="22" t="s">
        <v>13</v>
      </c>
      <c r="G21" s="22" t="s">
        <v>26</v>
      </c>
      <c r="H21" s="22" t="s">
        <v>17</v>
      </c>
      <c r="I21" s="23" t="n">
        <v>50</v>
      </c>
      <c r="J21" s="24" t="n">
        <v>3500</v>
      </c>
      <c r="K21" s="24" t="n">
        <f aca="false">I21*J21</f>
        <v>175000</v>
      </c>
      <c r="L21" s="22" t="s">
        <v>68</v>
      </c>
    </row>
    <row r="22" customFormat="false" ht="16.5" hidden="false" customHeight="true" outlineLevel="0" collapsed="false">
      <c r="A22" s="25" t="s">
        <v>109</v>
      </c>
      <c r="B22" s="25" t="s">
        <v>110</v>
      </c>
      <c r="C22" s="25" t="s">
        <v>29</v>
      </c>
      <c r="D22" s="25" t="s">
        <v>18</v>
      </c>
      <c r="E22" s="25" t="s">
        <v>22</v>
      </c>
      <c r="F22" s="25" t="s">
        <v>19</v>
      </c>
      <c r="G22" s="25" t="s">
        <v>15</v>
      </c>
      <c r="H22" s="25" t="s">
        <v>11</v>
      </c>
      <c r="I22" s="26" t="n">
        <v>18</v>
      </c>
      <c r="J22" s="27" t="n">
        <v>15000</v>
      </c>
      <c r="K22" s="27" t="n">
        <f aca="false">I22*J22</f>
        <v>270000</v>
      </c>
      <c r="L22" s="25" t="s">
        <v>71</v>
      </c>
    </row>
    <row r="23" customFormat="false" ht="16.5" hidden="false" customHeight="true" outlineLevel="0" collapsed="false">
      <c r="A23" s="22" t="s">
        <v>111</v>
      </c>
      <c r="B23" s="22" t="s">
        <v>112</v>
      </c>
      <c r="C23" s="22" t="s">
        <v>113</v>
      </c>
      <c r="D23" s="22" t="s">
        <v>18</v>
      </c>
      <c r="E23" s="22" t="s">
        <v>27</v>
      </c>
      <c r="F23" s="22" t="s">
        <v>13</v>
      </c>
      <c r="G23" s="22" t="s">
        <v>33</v>
      </c>
      <c r="H23" s="22" t="s">
        <v>17</v>
      </c>
      <c r="I23" s="23" t="n">
        <v>60</v>
      </c>
      <c r="J23" s="24" t="n">
        <v>2800</v>
      </c>
      <c r="K23" s="24" t="n">
        <f aca="false">I23*J23</f>
        <v>168000</v>
      </c>
      <c r="L23" s="22" t="s">
        <v>74</v>
      </c>
    </row>
    <row r="24" customFormat="false" ht="16.5" hidden="false" customHeight="true" outlineLevel="0" collapsed="false">
      <c r="A24" s="25" t="s">
        <v>114</v>
      </c>
      <c r="B24" s="25" t="s">
        <v>115</v>
      </c>
      <c r="C24" s="25" t="s">
        <v>113</v>
      </c>
      <c r="D24" s="25" t="s">
        <v>18</v>
      </c>
      <c r="E24" s="25" t="s">
        <v>31</v>
      </c>
      <c r="F24" s="25" t="s">
        <v>13</v>
      </c>
      <c r="G24" s="25" t="s">
        <v>9</v>
      </c>
      <c r="H24" s="25" t="s">
        <v>11</v>
      </c>
      <c r="I24" s="26" t="n">
        <v>8</v>
      </c>
      <c r="J24" s="27" t="n">
        <v>55000</v>
      </c>
      <c r="K24" s="27" t="n">
        <f aca="false">I24*J24</f>
        <v>440000</v>
      </c>
      <c r="L24" s="25" t="s">
        <v>80</v>
      </c>
    </row>
    <row r="25" customFormat="false" ht="16.5" hidden="false" customHeight="true" outlineLevel="0" collapsed="false">
      <c r="A25" s="22" t="s">
        <v>116</v>
      </c>
      <c r="B25" s="22" t="s">
        <v>117</v>
      </c>
      <c r="C25" s="22" t="s">
        <v>113</v>
      </c>
      <c r="D25" s="22" t="s">
        <v>18</v>
      </c>
      <c r="E25" s="22" t="s">
        <v>10</v>
      </c>
      <c r="F25" s="22" t="s">
        <v>19</v>
      </c>
      <c r="G25" s="22" t="s">
        <v>30</v>
      </c>
      <c r="H25" s="22" t="s">
        <v>11</v>
      </c>
      <c r="I25" s="23" t="n">
        <v>20</v>
      </c>
      <c r="J25" s="24" t="n">
        <v>18000</v>
      </c>
      <c r="K25" s="24" t="n">
        <f aca="false">I25*J25</f>
        <v>360000</v>
      </c>
      <c r="L25" s="22" t="s">
        <v>65</v>
      </c>
    </row>
    <row r="26" customFormat="false" ht="16.5" hidden="false" customHeight="true" outlineLevel="0" collapsed="false">
      <c r="A26" s="25" t="s">
        <v>118</v>
      </c>
      <c r="B26" s="25" t="s">
        <v>119</v>
      </c>
      <c r="C26" s="25" t="s">
        <v>113</v>
      </c>
      <c r="D26" s="25" t="s">
        <v>18</v>
      </c>
      <c r="E26" s="25" t="s">
        <v>16</v>
      </c>
      <c r="F26" s="25" t="s">
        <v>13</v>
      </c>
      <c r="G26" s="25" t="s">
        <v>21</v>
      </c>
      <c r="H26" s="25" t="s">
        <v>11</v>
      </c>
      <c r="I26" s="26" t="n">
        <v>12</v>
      </c>
      <c r="J26" s="27" t="n">
        <v>22000</v>
      </c>
      <c r="K26" s="27" t="n">
        <f aca="false">I26*J26</f>
        <v>264000</v>
      </c>
      <c r="L26" s="25" t="s">
        <v>68</v>
      </c>
    </row>
    <row r="27" customFormat="false" ht="16.5" hidden="false" customHeight="true" outlineLevel="0" collapsed="false">
      <c r="A27" s="22" t="s">
        <v>120</v>
      </c>
      <c r="B27" s="22" t="s">
        <v>121</v>
      </c>
      <c r="C27" s="22" t="s">
        <v>122</v>
      </c>
      <c r="D27" s="22" t="s">
        <v>23</v>
      </c>
      <c r="E27" s="22" t="s">
        <v>22</v>
      </c>
      <c r="F27" s="22" t="s">
        <v>24</v>
      </c>
      <c r="G27" s="22" t="s">
        <v>15</v>
      </c>
      <c r="H27" s="22" t="s">
        <v>11</v>
      </c>
      <c r="I27" s="23" t="n">
        <v>22</v>
      </c>
      <c r="J27" s="24" t="n">
        <v>15000</v>
      </c>
      <c r="K27" s="24" t="n">
        <f aca="false">I27*J27</f>
        <v>330000</v>
      </c>
      <c r="L27" s="22" t="s">
        <v>71</v>
      </c>
    </row>
    <row r="28" customFormat="false" ht="16.5" hidden="false" customHeight="true" outlineLevel="0" collapsed="false">
      <c r="A28" s="25" t="s">
        <v>123</v>
      </c>
      <c r="B28" s="25" t="s">
        <v>124</v>
      </c>
      <c r="C28" s="25" t="s">
        <v>122</v>
      </c>
      <c r="D28" s="25" t="s">
        <v>23</v>
      </c>
      <c r="E28" s="25" t="s">
        <v>27</v>
      </c>
      <c r="F28" s="25" t="s">
        <v>13</v>
      </c>
      <c r="G28" s="25" t="s">
        <v>9</v>
      </c>
      <c r="H28" s="25" t="s">
        <v>11</v>
      </c>
      <c r="I28" s="26" t="n">
        <v>9</v>
      </c>
      <c r="J28" s="27" t="n">
        <v>55000</v>
      </c>
      <c r="K28" s="27" t="n">
        <f aca="false">I28*J28</f>
        <v>495000</v>
      </c>
      <c r="L28" s="25" t="s">
        <v>74</v>
      </c>
    </row>
    <row r="29" customFormat="false" ht="16.5" hidden="false" customHeight="true" outlineLevel="0" collapsed="false">
      <c r="A29" s="22" t="s">
        <v>125</v>
      </c>
      <c r="B29" s="22" t="s">
        <v>126</v>
      </c>
      <c r="C29" s="22" t="s">
        <v>122</v>
      </c>
      <c r="D29" s="22" t="s">
        <v>23</v>
      </c>
      <c r="E29" s="22" t="s">
        <v>31</v>
      </c>
      <c r="F29" s="22" t="s">
        <v>19</v>
      </c>
      <c r="G29" s="22" t="s">
        <v>26</v>
      </c>
      <c r="H29" s="22" t="s">
        <v>17</v>
      </c>
      <c r="I29" s="23" t="n">
        <v>65</v>
      </c>
      <c r="J29" s="24" t="n">
        <v>3500</v>
      </c>
      <c r="K29" s="24" t="n">
        <f aca="false">I29*J29</f>
        <v>227500</v>
      </c>
      <c r="L29" s="22" t="s">
        <v>80</v>
      </c>
    </row>
    <row r="30" customFormat="false" ht="16.5" hidden="false" customHeight="true" outlineLevel="0" collapsed="false">
      <c r="A30" s="25" t="s">
        <v>127</v>
      </c>
      <c r="B30" s="25" t="s">
        <v>128</v>
      </c>
      <c r="C30" s="25" t="s">
        <v>122</v>
      </c>
      <c r="D30" s="25" t="s">
        <v>23</v>
      </c>
      <c r="E30" s="25" t="s">
        <v>10</v>
      </c>
      <c r="F30" s="25" t="s">
        <v>13</v>
      </c>
      <c r="G30" s="25" t="s">
        <v>33</v>
      </c>
      <c r="H30" s="25" t="s">
        <v>17</v>
      </c>
      <c r="I30" s="26" t="n">
        <v>80</v>
      </c>
      <c r="J30" s="27" t="n">
        <v>2800</v>
      </c>
      <c r="K30" s="27" t="n">
        <f aca="false">I30*J30</f>
        <v>224000</v>
      </c>
      <c r="L30" s="25" t="s">
        <v>65</v>
      </c>
    </row>
    <row r="31" customFormat="false" ht="16.5" hidden="false" customHeight="true" outlineLevel="0" collapsed="false">
      <c r="A31" s="22" t="s">
        <v>129</v>
      </c>
      <c r="B31" s="22" t="s">
        <v>130</v>
      </c>
      <c r="C31" s="22" t="s">
        <v>131</v>
      </c>
      <c r="D31" s="22" t="s">
        <v>23</v>
      </c>
      <c r="E31" s="22" t="s">
        <v>16</v>
      </c>
      <c r="F31" s="22" t="s">
        <v>13</v>
      </c>
      <c r="G31" s="22" t="s">
        <v>9</v>
      </c>
      <c r="H31" s="22" t="s">
        <v>11</v>
      </c>
      <c r="I31" s="23" t="n">
        <v>11</v>
      </c>
      <c r="J31" s="24" t="n">
        <v>55000</v>
      </c>
      <c r="K31" s="24" t="n">
        <f aca="false">I31*J31</f>
        <v>605000</v>
      </c>
      <c r="L31" s="22" t="s">
        <v>68</v>
      </c>
    </row>
    <row r="32" customFormat="false" ht="16.5" hidden="false" customHeight="true" outlineLevel="0" collapsed="false">
      <c r="A32" s="25" t="s">
        <v>132</v>
      </c>
      <c r="B32" s="25" t="s">
        <v>133</v>
      </c>
      <c r="C32" s="25" t="s">
        <v>131</v>
      </c>
      <c r="D32" s="25" t="s">
        <v>23</v>
      </c>
      <c r="E32" s="25" t="s">
        <v>22</v>
      </c>
      <c r="F32" s="25" t="s">
        <v>19</v>
      </c>
      <c r="G32" s="25" t="s">
        <v>15</v>
      </c>
      <c r="H32" s="25" t="s">
        <v>11</v>
      </c>
      <c r="I32" s="26" t="n">
        <v>25</v>
      </c>
      <c r="J32" s="27" t="n">
        <v>15000</v>
      </c>
      <c r="K32" s="27" t="n">
        <f aca="false">I32*J32</f>
        <v>375000</v>
      </c>
      <c r="L32" s="25" t="s">
        <v>71</v>
      </c>
    </row>
    <row r="33" customFormat="false" ht="16.5" hidden="false" customHeight="true" outlineLevel="0" collapsed="false">
      <c r="A33" s="22" t="s">
        <v>134</v>
      </c>
      <c r="B33" s="22" t="s">
        <v>135</v>
      </c>
      <c r="C33" s="22" t="s">
        <v>131</v>
      </c>
      <c r="D33" s="22" t="s">
        <v>23</v>
      </c>
      <c r="E33" s="22" t="s">
        <v>27</v>
      </c>
      <c r="F33" s="22" t="s">
        <v>13</v>
      </c>
      <c r="G33" s="22" t="s">
        <v>30</v>
      </c>
      <c r="H33" s="22" t="s">
        <v>11</v>
      </c>
      <c r="I33" s="23" t="n">
        <v>22</v>
      </c>
      <c r="J33" s="24" t="n">
        <v>18000</v>
      </c>
      <c r="K33" s="24" t="n">
        <f aca="false">I33*J33</f>
        <v>396000</v>
      </c>
      <c r="L33" s="22" t="s">
        <v>74</v>
      </c>
    </row>
    <row r="34" customFormat="false" ht="16.5" hidden="false" customHeight="true" outlineLevel="0" collapsed="false">
      <c r="A34" s="25" t="s">
        <v>136</v>
      </c>
      <c r="B34" s="25" t="s">
        <v>137</v>
      </c>
      <c r="C34" s="25" t="s">
        <v>131</v>
      </c>
      <c r="D34" s="25" t="s">
        <v>23</v>
      </c>
      <c r="E34" s="25" t="s">
        <v>31</v>
      </c>
      <c r="F34" s="25" t="s">
        <v>24</v>
      </c>
      <c r="G34" s="25" t="s">
        <v>21</v>
      </c>
      <c r="H34" s="25" t="s">
        <v>11</v>
      </c>
      <c r="I34" s="26" t="n">
        <v>15</v>
      </c>
      <c r="J34" s="27" t="n">
        <v>22000</v>
      </c>
      <c r="K34" s="27" t="n">
        <f aca="false">I34*J34</f>
        <v>330000</v>
      </c>
      <c r="L34" s="25" t="s">
        <v>80</v>
      </c>
    </row>
    <row r="35" customFormat="false" ht="16.5" hidden="false" customHeight="true" outlineLevel="0" collapsed="false">
      <c r="A35" s="22" t="s">
        <v>138</v>
      </c>
      <c r="B35" s="22" t="s">
        <v>139</v>
      </c>
      <c r="C35" s="22" t="s">
        <v>140</v>
      </c>
      <c r="D35" s="22" t="s">
        <v>23</v>
      </c>
      <c r="E35" s="22" t="s">
        <v>10</v>
      </c>
      <c r="F35" s="22" t="s">
        <v>13</v>
      </c>
      <c r="G35" s="22" t="s">
        <v>9</v>
      </c>
      <c r="H35" s="22" t="s">
        <v>11</v>
      </c>
      <c r="I35" s="23" t="n">
        <v>14</v>
      </c>
      <c r="J35" s="24" t="n">
        <v>55000</v>
      </c>
      <c r="K35" s="24" t="n">
        <f aca="false">I35*J35</f>
        <v>770000</v>
      </c>
      <c r="L35" s="22" t="s">
        <v>65</v>
      </c>
    </row>
    <row r="36" customFormat="false" ht="16.5" hidden="false" customHeight="true" outlineLevel="0" collapsed="false">
      <c r="A36" s="25" t="s">
        <v>141</v>
      </c>
      <c r="B36" s="25" t="s">
        <v>142</v>
      </c>
      <c r="C36" s="25" t="s">
        <v>140</v>
      </c>
      <c r="D36" s="25" t="s">
        <v>23</v>
      </c>
      <c r="E36" s="25" t="s">
        <v>16</v>
      </c>
      <c r="F36" s="25" t="s">
        <v>19</v>
      </c>
      <c r="G36" s="25" t="s">
        <v>33</v>
      </c>
      <c r="H36" s="25" t="s">
        <v>17</v>
      </c>
      <c r="I36" s="26" t="n">
        <v>100</v>
      </c>
      <c r="J36" s="27" t="n">
        <v>2800</v>
      </c>
      <c r="K36" s="27" t="n">
        <f aca="false">I36*J36</f>
        <v>280000</v>
      </c>
      <c r="L36" s="25" t="s">
        <v>68</v>
      </c>
    </row>
    <row r="37" customFormat="false" ht="16.5" hidden="false" customHeight="true" outlineLevel="0" collapsed="false">
      <c r="A37" s="22" t="s">
        <v>143</v>
      </c>
      <c r="B37" s="22" t="s">
        <v>144</v>
      </c>
      <c r="C37" s="22" t="s">
        <v>140</v>
      </c>
      <c r="D37" s="22" t="s">
        <v>23</v>
      </c>
      <c r="E37" s="22" t="s">
        <v>22</v>
      </c>
      <c r="F37" s="22" t="s">
        <v>13</v>
      </c>
      <c r="G37" s="22" t="s">
        <v>15</v>
      </c>
      <c r="H37" s="22" t="s">
        <v>11</v>
      </c>
      <c r="I37" s="23" t="n">
        <v>30</v>
      </c>
      <c r="J37" s="24" t="n">
        <v>15000</v>
      </c>
      <c r="K37" s="24" t="n">
        <f aca="false">I37*J37</f>
        <v>450000</v>
      </c>
      <c r="L37" s="22" t="s">
        <v>71</v>
      </c>
    </row>
    <row r="38" customFormat="false" ht="16.5" hidden="false" customHeight="true" outlineLevel="0" collapsed="false">
      <c r="A38" s="25" t="s">
        <v>145</v>
      </c>
      <c r="B38" s="25" t="s">
        <v>146</v>
      </c>
      <c r="C38" s="25" t="s">
        <v>140</v>
      </c>
      <c r="D38" s="25" t="s">
        <v>23</v>
      </c>
      <c r="E38" s="25" t="s">
        <v>27</v>
      </c>
      <c r="F38" s="25" t="s">
        <v>13</v>
      </c>
      <c r="G38" s="25" t="s">
        <v>26</v>
      </c>
      <c r="H38" s="25" t="s">
        <v>17</v>
      </c>
      <c r="I38" s="26" t="n">
        <v>80</v>
      </c>
      <c r="J38" s="27" t="n">
        <v>3500</v>
      </c>
      <c r="K38" s="27" t="n">
        <f aca="false">I38*J38</f>
        <v>280000</v>
      </c>
      <c r="L38" s="25" t="s">
        <v>74</v>
      </c>
    </row>
    <row r="39" customFormat="false" ht="16.5" hidden="false" customHeight="true" outlineLevel="0" collapsed="false">
      <c r="A39" s="22" t="s">
        <v>147</v>
      </c>
      <c r="B39" s="22" t="s">
        <v>148</v>
      </c>
      <c r="C39" s="22" t="s">
        <v>149</v>
      </c>
      <c r="D39" s="22" t="s">
        <v>28</v>
      </c>
      <c r="E39" s="22" t="s">
        <v>31</v>
      </c>
      <c r="F39" s="22" t="s">
        <v>19</v>
      </c>
      <c r="G39" s="22" t="s">
        <v>9</v>
      </c>
      <c r="H39" s="22" t="s">
        <v>11</v>
      </c>
      <c r="I39" s="23" t="n">
        <v>16</v>
      </c>
      <c r="J39" s="24" t="n">
        <v>55000</v>
      </c>
      <c r="K39" s="24" t="n">
        <f aca="false">I39*J39</f>
        <v>880000</v>
      </c>
      <c r="L39" s="22" t="s">
        <v>80</v>
      </c>
    </row>
    <row r="40" customFormat="false" ht="16.5" hidden="false" customHeight="true" outlineLevel="0" collapsed="false">
      <c r="A40" s="25" t="s">
        <v>150</v>
      </c>
      <c r="B40" s="25" t="s">
        <v>151</v>
      </c>
      <c r="C40" s="25" t="s">
        <v>149</v>
      </c>
      <c r="D40" s="25" t="s">
        <v>28</v>
      </c>
      <c r="E40" s="25" t="s">
        <v>10</v>
      </c>
      <c r="F40" s="25" t="s">
        <v>13</v>
      </c>
      <c r="G40" s="25" t="s">
        <v>21</v>
      </c>
      <c r="H40" s="25" t="s">
        <v>11</v>
      </c>
      <c r="I40" s="26" t="n">
        <v>18</v>
      </c>
      <c r="J40" s="27" t="n">
        <v>22000</v>
      </c>
      <c r="K40" s="27" t="n">
        <f aca="false">I40*J40</f>
        <v>396000</v>
      </c>
      <c r="L40" s="25" t="s">
        <v>65</v>
      </c>
    </row>
    <row r="41" customFormat="false" ht="16.5" hidden="false" customHeight="true" outlineLevel="0" collapsed="false">
      <c r="A41" s="22" t="s">
        <v>152</v>
      </c>
      <c r="B41" s="22" t="s">
        <v>153</v>
      </c>
      <c r="C41" s="22" t="s">
        <v>149</v>
      </c>
      <c r="D41" s="22" t="s">
        <v>28</v>
      </c>
      <c r="E41" s="22" t="s">
        <v>16</v>
      </c>
      <c r="F41" s="22" t="s">
        <v>13</v>
      </c>
      <c r="G41" s="22" t="s">
        <v>30</v>
      </c>
      <c r="H41" s="22" t="s">
        <v>11</v>
      </c>
      <c r="I41" s="23" t="n">
        <v>28</v>
      </c>
      <c r="J41" s="24" t="n">
        <v>18000</v>
      </c>
      <c r="K41" s="24" t="n">
        <f aca="false">I41*J41</f>
        <v>504000</v>
      </c>
      <c r="L41" s="22" t="s">
        <v>68</v>
      </c>
    </row>
    <row r="42" customFormat="false" ht="16.5" hidden="false" customHeight="true" outlineLevel="0" collapsed="false">
      <c r="A42" s="25" t="s">
        <v>154</v>
      </c>
      <c r="B42" s="25" t="s">
        <v>155</v>
      </c>
      <c r="C42" s="25" t="s">
        <v>149</v>
      </c>
      <c r="D42" s="25" t="s">
        <v>28</v>
      </c>
      <c r="E42" s="25" t="s">
        <v>22</v>
      </c>
      <c r="F42" s="25" t="s">
        <v>24</v>
      </c>
      <c r="G42" s="25" t="s">
        <v>15</v>
      </c>
      <c r="H42" s="25" t="s">
        <v>11</v>
      </c>
      <c r="I42" s="26" t="n">
        <v>35</v>
      </c>
      <c r="J42" s="27" t="n">
        <v>15000</v>
      </c>
      <c r="K42" s="27" t="n">
        <f aca="false">I42*J42</f>
        <v>525000</v>
      </c>
      <c r="L42" s="25" t="s">
        <v>71</v>
      </c>
    </row>
    <row r="43" customFormat="false" ht="16.5" hidden="false" customHeight="true" outlineLevel="0" collapsed="false">
      <c r="A43" s="22" t="s">
        <v>156</v>
      </c>
      <c r="B43" s="22" t="s">
        <v>157</v>
      </c>
      <c r="C43" s="22" t="s">
        <v>158</v>
      </c>
      <c r="D43" s="22" t="s">
        <v>28</v>
      </c>
      <c r="E43" s="22" t="s">
        <v>27</v>
      </c>
      <c r="F43" s="22" t="s">
        <v>13</v>
      </c>
      <c r="G43" s="22" t="s">
        <v>9</v>
      </c>
      <c r="H43" s="22" t="s">
        <v>11</v>
      </c>
      <c r="I43" s="23" t="n">
        <v>20</v>
      </c>
      <c r="J43" s="24" t="n">
        <v>55000</v>
      </c>
      <c r="K43" s="24" t="n">
        <f aca="false">I43*J43</f>
        <v>1100000</v>
      </c>
      <c r="L43" s="22" t="s">
        <v>74</v>
      </c>
    </row>
    <row r="44" customFormat="false" ht="16.5" hidden="false" customHeight="true" outlineLevel="0" collapsed="false">
      <c r="A44" s="25" t="s">
        <v>159</v>
      </c>
      <c r="B44" s="25" t="s">
        <v>160</v>
      </c>
      <c r="C44" s="25" t="s">
        <v>158</v>
      </c>
      <c r="D44" s="25" t="s">
        <v>28</v>
      </c>
      <c r="E44" s="25" t="s">
        <v>31</v>
      </c>
      <c r="F44" s="25" t="s">
        <v>19</v>
      </c>
      <c r="G44" s="25" t="s">
        <v>33</v>
      </c>
      <c r="H44" s="25" t="s">
        <v>17</v>
      </c>
      <c r="I44" s="26" t="n">
        <v>120</v>
      </c>
      <c r="J44" s="27" t="n">
        <v>2800</v>
      </c>
      <c r="K44" s="27" t="n">
        <f aca="false">I44*J44</f>
        <v>336000</v>
      </c>
      <c r="L44" s="25" t="s">
        <v>80</v>
      </c>
    </row>
    <row r="45" customFormat="false" ht="16.5" hidden="false" customHeight="true" outlineLevel="0" collapsed="false">
      <c r="A45" s="22" t="s">
        <v>161</v>
      </c>
      <c r="B45" s="22" t="s">
        <v>162</v>
      </c>
      <c r="C45" s="22" t="s">
        <v>158</v>
      </c>
      <c r="D45" s="22" t="s">
        <v>28</v>
      </c>
      <c r="E45" s="22" t="s">
        <v>10</v>
      </c>
      <c r="F45" s="22" t="s">
        <v>13</v>
      </c>
      <c r="G45" s="22" t="s">
        <v>15</v>
      </c>
      <c r="H45" s="22" t="s">
        <v>11</v>
      </c>
      <c r="I45" s="23" t="n">
        <v>40</v>
      </c>
      <c r="J45" s="24" t="n">
        <v>15000</v>
      </c>
      <c r="K45" s="24" t="n">
        <f aca="false">I45*J45</f>
        <v>600000</v>
      </c>
      <c r="L45" s="22" t="s">
        <v>65</v>
      </c>
    </row>
    <row r="46" customFormat="false" ht="16.5" hidden="false" customHeight="true" outlineLevel="0" collapsed="false">
      <c r="A46" s="25" t="s">
        <v>163</v>
      </c>
      <c r="B46" s="25" t="s">
        <v>164</v>
      </c>
      <c r="C46" s="25" t="s">
        <v>158</v>
      </c>
      <c r="D46" s="25" t="s">
        <v>28</v>
      </c>
      <c r="E46" s="25" t="s">
        <v>16</v>
      </c>
      <c r="F46" s="25" t="s">
        <v>13</v>
      </c>
      <c r="G46" s="25" t="s">
        <v>26</v>
      </c>
      <c r="H46" s="25" t="s">
        <v>17</v>
      </c>
      <c r="I46" s="26" t="n">
        <v>100</v>
      </c>
      <c r="J46" s="27" t="n">
        <v>3500</v>
      </c>
      <c r="K46" s="27" t="n">
        <f aca="false">I46*J46</f>
        <v>350000</v>
      </c>
      <c r="L46" s="25" t="s">
        <v>68</v>
      </c>
    </row>
    <row r="47" customFormat="false" ht="16.5" hidden="false" customHeight="true" outlineLevel="0" collapsed="false">
      <c r="A47" s="22" t="s">
        <v>165</v>
      </c>
      <c r="B47" s="22" t="s">
        <v>166</v>
      </c>
      <c r="C47" s="22" t="s">
        <v>167</v>
      </c>
      <c r="D47" s="22" t="s">
        <v>28</v>
      </c>
      <c r="E47" s="22" t="s">
        <v>22</v>
      </c>
      <c r="F47" s="22" t="s">
        <v>13</v>
      </c>
      <c r="G47" s="22" t="s">
        <v>9</v>
      </c>
      <c r="H47" s="22" t="s">
        <v>11</v>
      </c>
      <c r="I47" s="23" t="n">
        <v>25</v>
      </c>
      <c r="J47" s="24" t="n">
        <v>55000</v>
      </c>
      <c r="K47" s="24" t="n">
        <f aca="false">I47*J47</f>
        <v>1375000</v>
      </c>
      <c r="L47" s="22" t="s">
        <v>71</v>
      </c>
    </row>
    <row r="48" customFormat="false" ht="16.5" hidden="false" customHeight="true" outlineLevel="0" collapsed="false">
      <c r="A48" s="25" t="s">
        <v>168</v>
      </c>
      <c r="B48" s="25" t="s">
        <v>169</v>
      </c>
      <c r="C48" s="25" t="s">
        <v>167</v>
      </c>
      <c r="D48" s="25" t="s">
        <v>28</v>
      </c>
      <c r="E48" s="25" t="s">
        <v>27</v>
      </c>
      <c r="F48" s="25" t="s">
        <v>19</v>
      </c>
      <c r="G48" s="25" t="s">
        <v>30</v>
      </c>
      <c r="H48" s="25" t="s">
        <v>11</v>
      </c>
      <c r="I48" s="26" t="n">
        <v>35</v>
      </c>
      <c r="J48" s="27" t="n">
        <v>18000</v>
      </c>
      <c r="K48" s="27" t="n">
        <f aca="false">I48*J48</f>
        <v>630000</v>
      </c>
      <c r="L48" s="25" t="s">
        <v>74</v>
      </c>
    </row>
    <row r="49" customFormat="false" ht="16.5" hidden="false" customHeight="true" outlineLevel="0" collapsed="false">
      <c r="A49" s="22" t="s">
        <v>170</v>
      </c>
      <c r="B49" s="22" t="s">
        <v>171</v>
      </c>
      <c r="C49" s="22" t="s">
        <v>167</v>
      </c>
      <c r="D49" s="22" t="s">
        <v>28</v>
      </c>
      <c r="E49" s="22" t="s">
        <v>31</v>
      </c>
      <c r="F49" s="22" t="s">
        <v>13</v>
      </c>
      <c r="G49" s="22" t="s">
        <v>21</v>
      </c>
      <c r="H49" s="22" t="s">
        <v>11</v>
      </c>
      <c r="I49" s="23" t="n">
        <v>22</v>
      </c>
      <c r="J49" s="24" t="n">
        <v>22000</v>
      </c>
      <c r="K49" s="24" t="n">
        <f aca="false">I49*J49</f>
        <v>484000</v>
      </c>
      <c r="L49" s="22" t="s">
        <v>80</v>
      </c>
    </row>
    <row r="50" customFormat="false" ht="16.5" hidden="false" customHeight="true" outlineLevel="0" collapsed="false">
      <c r="A50" s="25" t="s">
        <v>172</v>
      </c>
      <c r="B50" s="25" t="s">
        <v>173</v>
      </c>
      <c r="C50" s="25" t="s">
        <v>167</v>
      </c>
      <c r="D50" s="25" t="s">
        <v>28</v>
      </c>
      <c r="E50" s="25" t="s">
        <v>10</v>
      </c>
      <c r="F50" s="25" t="s">
        <v>13</v>
      </c>
      <c r="G50" s="25" t="s">
        <v>15</v>
      </c>
      <c r="H50" s="25" t="s">
        <v>11</v>
      </c>
      <c r="I50" s="26" t="n">
        <v>50</v>
      </c>
      <c r="J50" s="27" t="n">
        <v>15000</v>
      </c>
      <c r="K50" s="27" t="n">
        <f aca="false">I50*J50</f>
        <v>750000</v>
      </c>
      <c r="L50" s="25" t="s">
        <v>65</v>
      </c>
    </row>
    <row r="51" customFormat="false" ht="21.75" hidden="false" customHeight="true" outlineLevel="0" collapsed="false">
      <c r="A51" s="28" t="s">
        <v>174</v>
      </c>
      <c r="B51" s="28"/>
      <c r="C51" s="28"/>
      <c r="D51" s="28"/>
      <c r="E51" s="28"/>
      <c r="F51" s="28"/>
      <c r="G51" s="28"/>
      <c r="H51" s="28"/>
      <c r="I51" s="29" t="n">
        <f aca="false">SUM(I3:I50)</f>
        <v>1397</v>
      </c>
      <c r="J51" s="28"/>
      <c r="K51" s="30" t="n">
        <f aca="false">SUM(K3:K50)</f>
        <v>17769500</v>
      </c>
      <c r="L51" s="28"/>
    </row>
  </sheetData>
  <autoFilter ref="A2:L2"/>
  <mergeCells count="1">
    <mergeCell ref="A1:L1"/>
  </mergeCells>
  <conditionalFormatting sqref="K3:K50">
    <cfRule type="dataBar" priority="2">
      <dataBar showValue="1" minLength="10" maxLength="90">
        <cfvo type="num" val="0"/>
        <cfvo type="max" val="0"/>
        <color rgb="FF00C2D4"/>
      </dataBar>
      <extLst>
        <ext xmlns:x14="http://schemas.microsoft.com/office/spreadsheetml/2009/9/main" uri="{B025F937-C7B1-47D3-B67F-A62EFF666E3E}">
          <x14:id>{91DF7710-5451-41E4-81A6-AEB265AFD054}</x14:id>
        </ext>
      </extLst>
    </cfRule>
  </conditionalFormatting>
  <conditionalFormatting sqref="I3:I50">
    <cfRule type="dataBar" priority="3">
      <dataBar showValue="1" minLength="10" maxLength="90">
        <cfvo type="num" val="0"/>
        <cfvo type="max" val="0"/>
        <color rgb="FFE8B84B"/>
      </dataBar>
      <extLst>
        <ext xmlns:x14="http://schemas.microsoft.com/office/spreadsheetml/2009/9/main" uri="{B025F937-C7B1-47D3-B67F-A62EFF666E3E}">
          <x14:id>{19A5905F-44ED-4780-97B5-108725F14E15}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DF7710-5451-41E4-81A6-AEB265AFD054}">
            <x14:dataBar minLength="10" maxLength="90" axisPosition="none" gradient="true">
              <x14:cfvo type="num">
                <xm:f>0</xm:f>
              </x14:cfvo>
              <x14:cfvo type="max"/>
              <x14:negativeFillColor rgb="FF00C2D4"/>
              <x14:axisColor rgb="FF000000"/>
            </x14:dataBar>
          </x14:cfRule>
          <xm:sqref>K3:K50</xm:sqref>
        </x14:conditionalFormatting>
        <x14:conditionalFormatting xmlns:xm="http://schemas.microsoft.com/office/excel/2006/main">
          <x14:cfRule type="dataBar" id="{19A5905F-44ED-4780-97B5-108725F14E15}">
            <x14:dataBar minLength="10" maxLength="90" axisPosition="none" gradient="true">
              <x14:cfvo type="num">
                <xm:f>0</xm:f>
              </x14:cfvo>
              <x14:cfvo type="max"/>
              <x14:negativeFillColor rgb="FFE8B84B"/>
              <x14:axisColor rgb="FF000000"/>
            </x14:dataBar>
          </x14:cfRule>
          <xm:sqref>I3:I50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8"/>
  </cols>
  <sheetData>
    <row r="1" customFormat="false" ht="33.75" hidden="false" customHeight="true" outlineLevel="0" collapsed="false">
      <c r="A1" s="20" t="s">
        <v>175</v>
      </c>
      <c r="B1" s="20"/>
      <c r="C1" s="20"/>
      <c r="D1" s="20"/>
      <c r="E1" s="20"/>
      <c r="F1" s="20"/>
      <c r="G1" s="20"/>
    </row>
    <row r="2" customFormat="false" ht="21.75" hidden="false" customHeight="true" outlineLevel="0" collapsed="false">
      <c r="A2" s="21" t="s">
        <v>3</v>
      </c>
      <c r="B2" s="21" t="s">
        <v>5</v>
      </c>
      <c r="C2" s="21" t="s">
        <v>176</v>
      </c>
      <c r="D2" s="21" t="s">
        <v>60</v>
      </c>
      <c r="E2" s="21" t="s">
        <v>177</v>
      </c>
      <c r="F2" s="21" t="s">
        <v>178</v>
      </c>
      <c r="G2" s="21" t="s">
        <v>179</v>
      </c>
    </row>
    <row r="3" customFormat="false" ht="16.5" hidden="false" customHeight="true" outlineLevel="0" collapsed="false">
      <c r="A3" s="22" t="s">
        <v>9</v>
      </c>
      <c r="B3" s="22" t="s">
        <v>11</v>
      </c>
      <c r="C3" s="23" t="n">
        <f aca="false">SUMIF('📋 Sales Dataset'!G:G,A3,'📋 Sales Dataset'!I:I)</f>
        <v>122</v>
      </c>
      <c r="D3" s="24" t="n">
        <f aca="false">SUMIF('📋 Sales Dataset'!G:G,A3,'📋 Sales Dataset'!K:K)</f>
        <v>6710000</v>
      </c>
      <c r="E3" s="24" t="n">
        <f aca="false">IFERROR(D3/C3,0)</f>
        <v>55000</v>
      </c>
      <c r="F3" s="31" t="n">
        <f aca="false">IFERROR(D3/SUM($D$3:$D$8),0)</f>
        <v>0.377613326205014</v>
      </c>
      <c r="G3" s="22" t="n">
        <f aca="false">RANK(D3,$D$3:$D$8,0)</f>
        <v>1</v>
      </c>
    </row>
    <row r="4" customFormat="false" ht="16.5" hidden="false" customHeight="true" outlineLevel="0" collapsed="false">
      <c r="A4" s="25" t="s">
        <v>15</v>
      </c>
      <c r="B4" s="25" t="s">
        <v>11</v>
      </c>
      <c r="C4" s="26" t="n">
        <f aca="false">SUMIF('📋 Sales Dataset'!G:G,A4,'📋 Sales Dataset'!I:I)</f>
        <v>264</v>
      </c>
      <c r="D4" s="27" t="n">
        <f aca="false">SUMIF('📋 Sales Dataset'!G:G,A4,'📋 Sales Dataset'!K:K)</f>
        <v>3960000</v>
      </c>
      <c r="E4" s="27" t="n">
        <f aca="false">IFERROR(D4/C4,0)</f>
        <v>15000</v>
      </c>
      <c r="F4" s="32" t="n">
        <f aca="false">IFERROR(D4/SUM($D$3:$D$8),0)</f>
        <v>0.222853766284926</v>
      </c>
      <c r="G4" s="25" t="n">
        <f aca="false">RANK(D4,$D$3:$D$8,0)</f>
        <v>2</v>
      </c>
    </row>
    <row r="5" customFormat="false" ht="16.5" hidden="false" customHeight="true" outlineLevel="0" collapsed="false">
      <c r="A5" s="22" t="s">
        <v>21</v>
      </c>
      <c r="B5" s="22" t="s">
        <v>11</v>
      </c>
      <c r="C5" s="23" t="n">
        <f aca="false">SUMIF('📋 Sales Dataset'!G:G,A5,'📋 Sales Dataset'!I:I)</f>
        <v>91</v>
      </c>
      <c r="D5" s="24" t="n">
        <f aca="false">SUMIF('📋 Sales Dataset'!G:G,A5,'📋 Sales Dataset'!K:K)</f>
        <v>2002000</v>
      </c>
      <c r="E5" s="24" t="n">
        <f aca="false">IFERROR(D5/C5,0)</f>
        <v>22000</v>
      </c>
      <c r="F5" s="31" t="n">
        <f aca="false">IFERROR(D5/SUM($D$3:$D$8),0)</f>
        <v>0.112664959621824</v>
      </c>
      <c r="G5" s="22" t="n">
        <f aca="false">RANK(D5,$D$3:$D$8,0)</f>
        <v>4</v>
      </c>
    </row>
    <row r="6" customFormat="false" ht="16.5" hidden="false" customHeight="true" outlineLevel="0" collapsed="false">
      <c r="A6" s="25" t="s">
        <v>30</v>
      </c>
      <c r="B6" s="25" t="s">
        <v>11</v>
      </c>
      <c r="C6" s="26" t="n">
        <f aca="false">SUMIF('📋 Sales Dataset'!G:G,A6,'📋 Sales Dataset'!I:I)</f>
        <v>150</v>
      </c>
      <c r="D6" s="27" t="n">
        <f aca="false">SUMIF('📋 Sales Dataset'!G:G,A6,'📋 Sales Dataset'!K:K)</f>
        <v>2700000</v>
      </c>
      <c r="E6" s="27" t="n">
        <f aca="false">IFERROR(D6/C6,0)</f>
        <v>18000</v>
      </c>
      <c r="F6" s="32" t="n">
        <f aca="false">IFERROR(D6/SUM($D$3:$D$8),0)</f>
        <v>0.151945749739723</v>
      </c>
      <c r="G6" s="25" t="n">
        <f aca="false">RANK(D6,$D$3:$D$8,0)</f>
        <v>3</v>
      </c>
    </row>
    <row r="7" customFormat="false" ht="16.5" hidden="false" customHeight="true" outlineLevel="0" collapsed="false">
      <c r="A7" s="22" t="s">
        <v>26</v>
      </c>
      <c r="B7" s="22" t="s">
        <v>17</v>
      </c>
      <c r="C7" s="23" t="n">
        <f aca="false">SUMIF('📋 Sales Dataset'!G:G,A7,'📋 Sales Dataset'!I:I)</f>
        <v>345</v>
      </c>
      <c r="D7" s="24" t="n">
        <f aca="false">SUMIF('📋 Sales Dataset'!G:G,A7,'📋 Sales Dataset'!K:K)</f>
        <v>1207500</v>
      </c>
      <c r="E7" s="24" t="n">
        <f aca="false">IFERROR(D7/C7,0)</f>
        <v>3500</v>
      </c>
      <c r="F7" s="31" t="n">
        <f aca="false">IFERROR(D7/SUM($D$3:$D$8),0)</f>
        <v>0.0679535158558204</v>
      </c>
      <c r="G7" s="22" t="n">
        <f aca="false">RANK(D7,$D$3:$D$8,0)</f>
        <v>5</v>
      </c>
    </row>
    <row r="8" customFormat="false" ht="16.5" hidden="false" customHeight="true" outlineLevel="0" collapsed="false">
      <c r="A8" s="25" t="s">
        <v>33</v>
      </c>
      <c r="B8" s="25" t="s">
        <v>17</v>
      </c>
      <c r="C8" s="26" t="n">
        <f aca="false">SUMIF('📋 Sales Dataset'!G:G,A8,'📋 Sales Dataset'!I:I)</f>
        <v>425</v>
      </c>
      <c r="D8" s="27" t="n">
        <f aca="false">SUMIF('📋 Sales Dataset'!G:G,A8,'📋 Sales Dataset'!K:K)</f>
        <v>1190000</v>
      </c>
      <c r="E8" s="27" t="n">
        <f aca="false">IFERROR(D8/C8,0)</f>
        <v>2800</v>
      </c>
      <c r="F8" s="32" t="n">
        <f aca="false">IFERROR(D8/SUM($D$3:$D$8),0)</f>
        <v>0.0669686822926925</v>
      </c>
      <c r="G8" s="25" t="n">
        <f aca="false">RANK(D8,$D$3:$D$8,0)</f>
        <v>6</v>
      </c>
    </row>
    <row r="9" customFormat="false" ht="21.75" hidden="false" customHeight="true" outlineLevel="0" collapsed="false">
      <c r="A9" s="28" t="s">
        <v>180</v>
      </c>
      <c r="B9" s="28"/>
      <c r="C9" s="28"/>
      <c r="D9" s="30" t="n">
        <f aca="false">SUM(D3:D8)</f>
        <v>17769500</v>
      </c>
      <c r="E9" s="30" t="n">
        <f aca="false">AVERAGE(E3:E8)</f>
        <v>19383.3333333333</v>
      </c>
      <c r="F9" s="33" t="n">
        <f aca="false">SUM(F3:F8)</f>
        <v>1</v>
      </c>
      <c r="G9" s="28"/>
    </row>
  </sheetData>
  <mergeCells count="1">
    <mergeCell ref="A1:G1"/>
  </mergeCells>
  <conditionalFormatting sqref="F3:F8">
    <cfRule type="dataBar" priority="2">
      <dataBar showValue="1" minLength="10" maxLength="90">
        <cfvo type="num" val="0"/>
        <cfvo type="max" val="0"/>
        <color rgb="FFE8B84B"/>
      </dataBar>
      <extLst>
        <ext xmlns:x14="http://schemas.microsoft.com/office/spreadsheetml/2009/9/main" uri="{B025F937-C7B1-47D3-B67F-A62EFF666E3E}">
          <x14:id>{A05A60E9-8ABF-4718-BA64-48EC00C2A4F8}</x14:id>
        </ext>
      </extLst>
    </cfRule>
  </conditionalFormatting>
  <conditionalFormatting sqref="D3:D8">
    <cfRule type="dataBar" priority="3">
      <dataBar showValue="1" minLength="10" maxLength="90">
        <cfvo type="num" val="0"/>
        <cfvo type="max" val="0"/>
        <color rgb="FF00C2D4"/>
      </dataBar>
      <extLst>
        <ext xmlns:x14="http://schemas.microsoft.com/office/spreadsheetml/2009/9/main" uri="{B025F937-C7B1-47D3-B67F-A62EFF666E3E}">
          <x14:id>{31DB10FE-DA79-4B87-923E-ACCB613EFFD4}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5A60E9-8ABF-4718-BA64-48EC00C2A4F8}">
            <x14:dataBar minLength="10" maxLength="90" axisPosition="none" gradient="true">
              <x14:cfvo type="num">
                <xm:f>0</xm:f>
              </x14:cfvo>
              <x14:cfvo type="max"/>
              <x14:negativeFillColor rgb="FFE8B84B"/>
              <x14:axisColor rgb="FF000000"/>
            </x14:dataBar>
          </x14:cfRule>
          <xm:sqref>F3:F8</xm:sqref>
        </x14:conditionalFormatting>
        <x14:conditionalFormatting xmlns:xm="http://schemas.microsoft.com/office/excel/2006/main">
          <x14:cfRule type="dataBar" id="{31DB10FE-DA79-4B87-923E-ACCB613EFFD4}">
            <x14:dataBar minLength="10" maxLength="90" axisPosition="none" gradient="true">
              <x14:cfvo type="num">
                <xm:f>0</xm:f>
              </x14:cfvo>
              <x14:cfvo type="max"/>
              <x14:negativeFillColor rgb="FF00C2D4"/>
              <x14:axisColor rgb="FF000000"/>
            </x14:dataBar>
          </x14:cfRule>
          <xm:sqref>D3:D8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2D4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1"/>
  </cols>
  <sheetData>
    <row r="1" customFormat="false" ht="33.75" hidden="false" customHeight="true" outlineLevel="0" collapsed="false">
      <c r="A1" s="20" t="s">
        <v>181</v>
      </c>
      <c r="B1" s="20"/>
      <c r="C1" s="20"/>
      <c r="D1" s="20"/>
      <c r="E1" s="20"/>
      <c r="F1" s="20"/>
      <c r="G1" s="20"/>
      <c r="H1" s="20"/>
    </row>
    <row r="2" customFormat="false" ht="21.75" hidden="false" customHeight="true" outlineLevel="0" collapsed="false">
      <c r="A2" s="21" t="s">
        <v>0</v>
      </c>
      <c r="B2" s="21" t="s">
        <v>6</v>
      </c>
      <c r="C2" s="21" t="s">
        <v>2</v>
      </c>
      <c r="D2" s="21" t="s">
        <v>60</v>
      </c>
      <c r="E2" s="21" t="s">
        <v>182</v>
      </c>
      <c r="F2" s="21" t="s">
        <v>183</v>
      </c>
      <c r="G2" s="21" t="s">
        <v>184</v>
      </c>
      <c r="H2" s="21" t="s">
        <v>185</v>
      </c>
    </row>
    <row r="3" customFormat="false" ht="16.5" hidden="false" customHeight="true" outlineLevel="0" collapsed="false">
      <c r="A3" s="22" t="s">
        <v>64</v>
      </c>
      <c r="B3" s="22" t="s">
        <v>12</v>
      </c>
      <c r="C3" s="23" t="n">
        <f aca="false">SUMIF('📋 Sales Dataset'!C:C,A3,'📋 Sales Dataset'!I:I)</f>
        <v>43</v>
      </c>
      <c r="D3" s="24" t="n">
        <f aca="false">SUMIF('📋 Sales Dataset'!C:C,A3,'📋 Sales Dataset'!K:K)</f>
        <v>571000</v>
      </c>
      <c r="E3" s="22" t="s">
        <v>186</v>
      </c>
      <c r="F3" s="22" t="s">
        <v>186</v>
      </c>
      <c r="G3" s="24" t="n">
        <f aca="false">SUM($D$3:D3)</f>
        <v>571000</v>
      </c>
      <c r="H3" s="31" t="n">
        <f aca="false">IFERROR(D3/SUM($D$3:$D$14),0)</f>
        <v>0.032133712259771</v>
      </c>
    </row>
    <row r="4" customFormat="false" ht="16.5" hidden="false" customHeight="true" outlineLevel="0" collapsed="false">
      <c r="A4" s="25" t="s">
        <v>77</v>
      </c>
      <c r="B4" s="25" t="s">
        <v>12</v>
      </c>
      <c r="C4" s="26" t="n">
        <f aca="false">SUMIF('📋 Sales Dataset'!C:C,A4,'📋 Sales Dataset'!I:I)</f>
        <v>45</v>
      </c>
      <c r="D4" s="27" t="n">
        <f aca="false">SUMIF('📋 Sales Dataset'!C:C,A4,'📋 Sales Dataset'!K:K)</f>
        <v>572000</v>
      </c>
      <c r="E4" s="27" t="n">
        <f aca="false">D3</f>
        <v>571000</v>
      </c>
      <c r="F4" s="32" t="n">
        <f aca="false">IFERROR((D4-D3)/D3,0)</f>
        <v>0.00175131348511384</v>
      </c>
      <c r="G4" s="27" t="n">
        <f aca="false">SUM($D$3:D4)</f>
        <v>1143000</v>
      </c>
      <c r="H4" s="32" t="n">
        <f aca="false">IFERROR(D4/SUM($D$3:$D$14),0)</f>
        <v>0.0321899884633783</v>
      </c>
    </row>
    <row r="5" customFormat="false" ht="16.5" hidden="false" customHeight="true" outlineLevel="0" collapsed="false">
      <c r="A5" s="22" t="s">
        <v>87</v>
      </c>
      <c r="B5" s="22" t="s">
        <v>12</v>
      </c>
      <c r="C5" s="23" t="n">
        <f aca="false">SUMIF('📋 Sales Dataset'!C:C,A5,'📋 Sales Dataset'!I:I)</f>
        <v>65</v>
      </c>
      <c r="D5" s="24" t="n">
        <f aca="false">SUMIF('📋 Sales Dataset'!C:C,A5,'📋 Sales Dataset'!K:K)</f>
        <v>731000</v>
      </c>
      <c r="E5" s="24" t="n">
        <f aca="false">D4</f>
        <v>572000</v>
      </c>
      <c r="F5" s="31" t="n">
        <f aca="false">IFERROR((D5-D4)/D4,0)</f>
        <v>0.277972027972028</v>
      </c>
      <c r="G5" s="24" t="n">
        <f aca="false">SUM($D$3:D5)</f>
        <v>1874000</v>
      </c>
      <c r="H5" s="31" t="n">
        <f aca="false">IFERROR(D5/SUM($D$3:$D$14),0)</f>
        <v>0.0411379048369397</v>
      </c>
    </row>
    <row r="6" customFormat="false" ht="16.5" hidden="false" customHeight="true" outlineLevel="0" collapsed="false">
      <c r="A6" s="25" t="s">
        <v>96</v>
      </c>
      <c r="B6" s="25" t="s">
        <v>18</v>
      </c>
      <c r="C6" s="26" t="n">
        <f aca="false">SUMIF('📋 Sales Dataset'!C:C,A6,'📋 Sales Dataset'!I:I)</f>
        <v>77</v>
      </c>
      <c r="D6" s="27" t="n">
        <f aca="false">SUMIF('📋 Sales Dataset'!C:C,A6,'📋 Sales Dataset'!K:K)</f>
        <v>921000</v>
      </c>
      <c r="E6" s="27" t="n">
        <f aca="false">D5</f>
        <v>731000</v>
      </c>
      <c r="F6" s="32" t="n">
        <f aca="false">IFERROR((D6-D5)/D5,0)</f>
        <v>0.259917920656635</v>
      </c>
      <c r="G6" s="27" t="n">
        <f aca="false">SUM($D$3:D6)</f>
        <v>2795000</v>
      </c>
      <c r="H6" s="32" t="n">
        <f aca="false">IFERROR(D6/SUM($D$3:$D$14),0)</f>
        <v>0.0518303835223276</v>
      </c>
    </row>
    <row r="7" customFormat="false" ht="16.5" hidden="false" customHeight="true" outlineLevel="0" collapsed="false">
      <c r="A7" s="22" t="s">
        <v>29</v>
      </c>
      <c r="B7" s="22" t="s">
        <v>18</v>
      </c>
      <c r="C7" s="23" t="n">
        <f aca="false">SUMIF('📋 Sales Dataset'!C:C,A7,'📋 Sales Dataset'!I:I)</f>
        <v>85</v>
      </c>
      <c r="D7" s="24" t="n">
        <f aca="false">SUMIF('📋 Sales Dataset'!C:C,A7,'📋 Sales Dataset'!K:K)</f>
        <v>1050000</v>
      </c>
      <c r="E7" s="24" t="n">
        <f aca="false">D6</f>
        <v>921000</v>
      </c>
      <c r="F7" s="31" t="n">
        <f aca="false">IFERROR((D7-D6)/D6,0)</f>
        <v>0.140065146579805</v>
      </c>
      <c r="G7" s="24" t="n">
        <f aca="false">SUM($D$3:D7)</f>
        <v>3845000</v>
      </c>
      <c r="H7" s="31" t="n">
        <f aca="false">IFERROR(D7/SUM($D$3:$D$14),0)</f>
        <v>0.0590900137876699</v>
      </c>
    </row>
    <row r="8" customFormat="false" ht="16.5" hidden="false" customHeight="true" outlineLevel="0" collapsed="false">
      <c r="A8" s="25" t="s">
        <v>113</v>
      </c>
      <c r="B8" s="25" t="s">
        <v>18</v>
      </c>
      <c r="C8" s="26" t="n">
        <f aca="false">SUMIF('📋 Sales Dataset'!C:C,A8,'📋 Sales Dataset'!I:I)</f>
        <v>100</v>
      </c>
      <c r="D8" s="27" t="n">
        <f aca="false">SUMIF('📋 Sales Dataset'!C:C,A8,'📋 Sales Dataset'!K:K)</f>
        <v>1232000</v>
      </c>
      <c r="E8" s="27" t="n">
        <f aca="false">D7</f>
        <v>1050000</v>
      </c>
      <c r="F8" s="32" t="n">
        <f aca="false">IFERROR((D8-D7)/D7,0)</f>
        <v>0.173333333333333</v>
      </c>
      <c r="G8" s="27" t="n">
        <f aca="false">SUM($D$3:D8)</f>
        <v>5077000</v>
      </c>
      <c r="H8" s="32" t="n">
        <f aca="false">IFERROR(D8/SUM($D$3:$D$14),0)</f>
        <v>0.0693322828441993</v>
      </c>
    </row>
    <row r="9" customFormat="false" ht="16.5" hidden="false" customHeight="true" outlineLevel="0" collapsed="false">
      <c r="A9" s="22" t="s">
        <v>122</v>
      </c>
      <c r="B9" s="22" t="s">
        <v>23</v>
      </c>
      <c r="C9" s="23" t="n">
        <f aca="false">SUMIF('📋 Sales Dataset'!C:C,A9,'📋 Sales Dataset'!I:I)</f>
        <v>176</v>
      </c>
      <c r="D9" s="24" t="n">
        <f aca="false">SUMIF('📋 Sales Dataset'!C:C,A9,'📋 Sales Dataset'!K:K)</f>
        <v>1276500</v>
      </c>
      <c r="E9" s="24" t="n">
        <f aca="false">D8</f>
        <v>1232000</v>
      </c>
      <c r="F9" s="31" t="n">
        <f aca="false">IFERROR((D9-D8)/D8,0)</f>
        <v>0.0361201298701299</v>
      </c>
      <c r="G9" s="24" t="n">
        <f aca="false">SUM($D$3:D9)</f>
        <v>6353500</v>
      </c>
      <c r="H9" s="31" t="n">
        <f aca="false">IFERROR(D9/SUM($D$3:$D$14),0)</f>
        <v>0.0718365739047244</v>
      </c>
    </row>
    <row r="10" customFormat="false" ht="16.5" hidden="false" customHeight="true" outlineLevel="0" collapsed="false">
      <c r="A10" s="25" t="s">
        <v>131</v>
      </c>
      <c r="B10" s="25" t="s">
        <v>23</v>
      </c>
      <c r="C10" s="26" t="n">
        <f aca="false">SUMIF('📋 Sales Dataset'!C:C,A10,'📋 Sales Dataset'!I:I)</f>
        <v>73</v>
      </c>
      <c r="D10" s="27" t="n">
        <f aca="false">SUMIF('📋 Sales Dataset'!C:C,A10,'📋 Sales Dataset'!K:K)</f>
        <v>1706000</v>
      </c>
      <c r="E10" s="27" t="n">
        <f aca="false">D9</f>
        <v>1276500</v>
      </c>
      <c r="F10" s="32" t="n">
        <f aca="false">IFERROR((D10-D9)/D9,0)</f>
        <v>0.336466901684293</v>
      </c>
      <c r="G10" s="27" t="n">
        <f aca="false">SUM($D$3:D10)</f>
        <v>8059500</v>
      </c>
      <c r="H10" s="32" t="n">
        <f aca="false">IFERROR(D10/SUM($D$3:$D$14),0)</f>
        <v>0.0960072033540617</v>
      </c>
    </row>
    <row r="11" customFormat="false" ht="16.5" hidden="false" customHeight="true" outlineLevel="0" collapsed="false">
      <c r="A11" s="22" t="s">
        <v>140</v>
      </c>
      <c r="B11" s="22" t="s">
        <v>23</v>
      </c>
      <c r="C11" s="23" t="n">
        <f aca="false">SUMIF('📋 Sales Dataset'!C:C,A11,'📋 Sales Dataset'!I:I)</f>
        <v>224</v>
      </c>
      <c r="D11" s="24" t="n">
        <f aca="false">SUMIF('📋 Sales Dataset'!C:C,A11,'📋 Sales Dataset'!K:K)</f>
        <v>1780000</v>
      </c>
      <c r="E11" s="24" t="n">
        <f aca="false">D10</f>
        <v>1706000</v>
      </c>
      <c r="F11" s="31" t="n">
        <f aca="false">IFERROR((D11-D10)/D10,0)</f>
        <v>0.0433763188745604</v>
      </c>
      <c r="G11" s="24" t="n">
        <f aca="false">SUM($D$3:D11)</f>
        <v>9839500</v>
      </c>
      <c r="H11" s="31" t="n">
        <f aca="false">IFERROR(D11/SUM($D$3:$D$14),0)</f>
        <v>0.100171642421002</v>
      </c>
    </row>
    <row r="12" customFormat="false" ht="16.5" hidden="false" customHeight="true" outlineLevel="0" collapsed="false">
      <c r="A12" s="25" t="s">
        <v>149</v>
      </c>
      <c r="B12" s="25" t="s">
        <v>28</v>
      </c>
      <c r="C12" s="26" t="n">
        <f aca="false">SUMIF('📋 Sales Dataset'!C:C,A12,'📋 Sales Dataset'!I:I)</f>
        <v>97</v>
      </c>
      <c r="D12" s="27" t="n">
        <f aca="false">SUMIF('📋 Sales Dataset'!C:C,A12,'📋 Sales Dataset'!K:K)</f>
        <v>2305000</v>
      </c>
      <c r="E12" s="27" t="n">
        <f aca="false">D11</f>
        <v>1780000</v>
      </c>
      <c r="F12" s="32" t="n">
        <f aca="false">IFERROR((D12-D11)/D11,0)</f>
        <v>0.294943820224719</v>
      </c>
      <c r="G12" s="27" t="n">
        <f aca="false">SUM($D$3:D12)</f>
        <v>12144500</v>
      </c>
      <c r="H12" s="32" t="n">
        <f aca="false">IFERROR(D12/SUM($D$3:$D$14),0)</f>
        <v>0.129716649314837</v>
      </c>
    </row>
    <row r="13" customFormat="false" ht="16.5" hidden="false" customHeight="true" outlineLevel="0" collapsed="false">
      <c r="A13" s="22" t="s">
        <v>158</v>
      </c>
      <c r="B13" s="22" t="s">
        <v>28</v>
      </c>
      <c r="C13" s="23" t="n">
        <f aca="false">SUMIF('📋 Sales Dataset'!C:C,A13,'📋 Sales Dataset'!I:I)</f>
        <v>280</v>
      </c>
      <c r="D13" s="24" t="n">
        <f aca="false">SUMIF('📋 Sales Dataset'!C:C,A13,'📋 Sales Dataset'!K:K)</f>
        <v>2386000</v>
      </c>
      <c r="E13" s="24" t="n">
        <f aca="false">D12</f>
        <v>2305000</v>
      </c>
      <c r="F13" s="31" t="n">
        <f aca="false">IFERROR((D13-D12)/D12,0)</f>
        <v>0.0351409978308026</v>
      </c>
      <c r="G13" s="24" t="n">
        <f aca="false">SUM($D$3:D13)</f>
        <v>14530500</v>
      </c>
      <c r="H13" s="31" t="n">
        <f aca="false">IFERROR(D13/SUM($D$3:$D$14),0)</f>
        <v>0.134275021807029</v>
      </c>
    </row>
    <row r="14" customFormat="false" ht="16.5" hidden="false" customHeight="true" outlineLevel="0" collapsed="false">
      <c r="A14" s="25" t="s">
        <v>167</v>
      </c>
      <c r="B14" s="25" t="s">
        <v>28</v>
      </c>
      <c r="C14" s="26" t="n">
        <f aca="false">SUMIF('📋 Sales Dataset'!C:C,A14,'📋 Sales Dataset'!I:I)</f>
        <v>132</v>
      </c>
      <c r="D14" s="27" t="n">
        <f aca="false">SUMIF('📋 Sales Dataset'!C:C,A14,'📋 Sales Dataset'!K:K)</f>
        <v>3239000</v>
      </c>
      <c r="E14" s="27" t="n">
        <f aca="false">D13</f>
        <v>2386000</v>
      </c>
      <c r="F14" s="32" t="n">
        <f aca="false">IFERROR((D14-D13)/D13,0)</f>
        <v>0.357502095557418</v>
      </c>
      <c r="G14" s="27" t="n">
        <f aca="false">SUM($D$3:D14)</f>
        <v>17769500</v>
      </c>
      <c r="H14" s="32" t="n">
        <f aca="false">IFERROR(D14/SUM($D$3:$D$14),0)</f>
        <v>0.18227862348406</v>
      </c>
    </row>
    <row r="15" customFormat="false" ht="21.75" hidden="false" customHeight="true" outlineLevel="0" collapsed="false">
      <c r="A15" s="28" t="s">
        <v>187</v>
      </c>
      <c r="B15" s="28"/>
      <c r="C15" s="29" t="n">
        <f aca="false">SUM(C3:C14)</f>
        <v>1397</v>
      </c>
      <c r="D15" s="30" t="n">
        <f aca="false">SUM(D3:D14)</f>
        <v>17769500</v>
      </c>
      <c r="E15" s="28"/>
      <c r="F15" s="28"/>
      <c r="G15" s="30" t="n">
        <f aca="false">D15</f>
        <v>17769500</v>
      </c>
      <c r="H15" s="33" t="n">
        <f aca="false">SUM(H3:H14)</f>
        <v>1</v>
      </c>
    </row>
  </sheetData>
  <mergeCells count="1">
    <mergeCell ref="A1:H1"/>
  </mergeCells>
  <conditionalFormatting sqref="F4:F14">
    <cfRule type="colorScale" priority="2">
      <colorScale>
        <cfvo type="min" val="0"/>
        <cfvo type="num" val="0"/>
        <cfvo type="max" val="0"/>
        <color rgb="FFFF4C6A"/>
        <color rgb="FF888888"/>
        <color rgb="FF00E096"/>
      </colorScale>
    </cfRule>
  </conditionalFormatting>
  <conditionalFormatting sqref="D3:D14">
    <cfRule type="dataBar" priority="3">
      <dataBar showValue="1" minLength="10" maxLength="90">
        <cfvo type="num" val="0"/>
        <cfvo type="max" val="0"/>
        <color rgb="FF00C2D4"/>
      </dataBar>
      <extLst>
        <ext xmlns:x14="http://schemas.microsoft.com/office/spreadsheetml/2009/9/main" uri="{B025F937-C7B1-47D3-B67F-A62EFF666E3E}">
          <x14:id>{5A86BDD2-D3AE-49B2-8835-D5B0BD82FFE9}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86BDD2-D3AE-49B2-8835-D5B0BD82FFE9}">
            <x14:dataBar minLength="10" maxLength="90" axisPosition="none" gradient="true">
              <x14:cfvo type="num">
                <xm:f>0</xm:f>
              </x14:cfvo>
              <x14:cfvo type="max"/>
              <x14:negativeFillColor rgb="FF00C2D4"/>
              <x14:axisColor rgb="FF000000"/>
            </x14:dataBar>
          </x14:cfRule>
          <xm:sqref>D3:D14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6B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6" min="6" style="0" width="8"/>
  </cols>
  <sheetData>
    <row r="1" customFormat="false" ht="33.75" hidden="false" customHeight="true" outlineLevel="0" collapsed="false">
      <c r="A1" s="20" t="s">
        <v>188</v>
      </c>
      <c r="B1" s="20"/>
      <c r="C1" s="20"/>
      <c r="D1" s="20"/>
      <c r="E1" s="20"/>
      <c r="F1" s="20"/>
    </row>
    <row r="2" customFormat="false" ht="21.75" hidden="false" customHeight="true" outlineLevel="0" collapsed="false">
      <c r="A2" s="21" t="s">
        <v>4</v>
      </c>
      <c r="B2" s="21" t="s">
        <v>189</v>
      </c>
      <c r="C2" s="21" t="s">
        <v>176</v>
      </c>
      <c r="D2" s="21" t="s">
        <v>60</v>
      </c>
      <c r="E2" s="21" t="s">
        <v>178</v>
      </c>
      <c r="F2" s="21" t="s">
        <v>179</v>
      </c>
    </row>
    <row r="3" customFormat="false" ht="16.5" hidden="false" customHeight="true" outlineLevel="0" collapsed="false">
      <c r="A3" s="22" t="s">
        <v>10</v>
      </c>
      <c r="B3" s="23" t="n">
        <f aca="false">COUNTIF('📋 Sales Dataset'!E:E,A3)</f>
        <v>11</v>
      </c>
      <c r="C3" s="23" t="n">
        <f aca="false">SUMIF('📋 Sales Dataset'!E:E,A3,'📋 Sales Dataset'!I:I)</f>
        <v>296</v>
      </c>
      <c r="D3" s="24" t="n">
        <f aca="false">SUMIF('📋 Sales Dataset'!E:E,A3,'📋 Sales Dataset'!K:K)</f>
        <v>3999000</v>
      </c>
      <c r="E3" s="31" t="n">
        <f aca="false">IFERROR(D3/SUM($D$3:$D$7),0)</f>
        <v>0.225048538225611</v>
      </c>
      <c r="F3" s="22" t="n">
        <f aca="false">RANK(D3,$D$3:$D$7,0)</f>
        <v>2</v>
      </c>
    </row>
    <row r="4" customFormat="false" ht="16.5" hidden="false" customHeight="true" outlineLevel="0" collapsed="false">
      <c r="A4" s="25" t="s">
        <v>16</v>
      </c>
      <c r="B4" s="26" t="n">
        <f aca="false">COUNTIF('📋 Sales Dataset'!E:E,A4)</f>
        <v>9</v>
      </c>
      <c r="C4" s="26" t="n">
        <f aca="false">SUMIF('📋 Sales Dataset'!E:E,A4,'📋 Sales Dataset'!I:I)</f>
        <v>339</v>
      </c>
      <c r="D4" s="27" t="n">
        <f aca="false">SUMIF('📋 Sales Dataset'!E:E,A4,'📋 Sales Dataset'!K:K)</f>
        <v>2643000</v>
      </c>
      <c r="E4" s="32" t="n">
        <f aca="false">IFERROR(D4/SUM($D$3:$D$7),0)</f>
        <v>0.148738006134106</v>
      </c>
      <c r="F4" s="25" t="n">
        <f aca="false">RANK(D4,$D$3:$D$7,0)</f>
        <v>5</v>
      </c>
    </row>
    <row r="5" customFormat="false" ht="16.5" hidden="false" customHeight="true" outlineLevel="0" collapsed="false">
      <c r="A5" s="22" t="s">
        <v>22</v>
      </c>
      <c r="B5" s="23" t="n">
        <f aca="false">COUNTIF('📋 Sales Dataset'!E:E,A5)</f>
        <v>10</v>
      </c>
      <c r="C5" s="23" t="n">
        <f aca="false">SUMIF('📋 Sales Dataset'!E:E,A5,'📋 Sales Dataset'!I:I)</f>
        <v>193</v>
      </c>
      <c r="D5" s="24" t="n">
        <f aca="false">SUMIF('📋 Sales Dataset'!E:E,A5,'📋 Sales Dataset'!K:K)</f>
        <v>4147000</v>
      </c>
      <c r="E5" s="31" t="n">
        <f aca="false">IFERROR(D5/SUM($D$3:$D$7),0)</f>
        <v>0.233377416359492</v>
      </c>
      <c r="F5" s="22" t="n">
        <f aca="false">RANK(D5,$D$3:$D$7,0)</f>
        <v>1</v>
      </c>
    </row>
    <row r="6" customFormat="false" ht="16.5" hidden="false" customHeight="true" outlineLevel="0" collapsed="false">
      <c r="A6" s="25" t="s">
        <v>27</v>
      </c>
      <c r="B6" s="26" t="n">
        <f aca="false">COUNTIF('📋 Sales Dataset'!E:E,A6)</f>
        <v>9</v>
      </c>
      <c r="C6" s="26" t="n">
        <f aca="false">SUMIF('📋 Sales Dataset'!E:E,A6,'📋 Sales Dataset'!I:I)</f>
        <v>276</v>
      </c>
      <c r="D6" s="27" t="n">
        <f aca="false">SUMIF('📋 Sales Dataset'!E:E,A6,'📋 Sales Dataset'!K:K)</f>
        <v>3643000</v>
      </c>
      <c r="E6" s="32" t="n">
        <f aca="false">IFERROR(D6/SUM($D$3:$D$7),0)</f>
        <v>0.205014209741411</v>
      </c>
      <c r="F6" s="25" t="n">
        <f aca="false">RANK(D6,$D$3:$D$7,0)</f>
        <v>3</v>
      </c>
    </row>
    <row r="7" customFormat="false" ht="16.5" hidden="false" customHeight="true" outlineLevel="0" collapsed="false">
      <c r="A7" s="22" t="s">
        <v>31</v>
      </c>
      <c r="B7" s="23" t="n">
        <f aca="false">COUNTIF('📋 Sales Dataset'!E:E,A7)</f>
        <v>9</v>
      </c>
      <c r="C7" s="23" t="n">
        <f aca="false">SUMIF('📋 Sales Dataset'!E:E,A7,'📋 Sales Dataset'!I:I)</f>
        <v>293</v>
      </c>
      <c r="D7" s="24" t="n">
        <f aca="false">SUMIF('📋 Sales Dataset'!E:E,A7,'📋 Sales Dataset'!K:K)</f>
        <v>3337500</v>
      </c>
      <c r="E7" s="31" t="n">
        <f aca="false">IFERROR(D7/SUM($D$3:$D$7),0)</f>
        <v>0.187821829539379</v>
      </c>
      <c r="F7" s="22" t="n">
        <f aca="false">RANK(D7,$D$3:$D$7,0)</f>
        <v>4</v>
      </c>
    </row>
    <row r="8" customFormat="false" ht="21.75" hidden="false" customHeight="true" outlineLevel="0" collapsed="false">
      <c r="A8" s="28" t="s">
        <v>180</v>
      </c>
      <c r="B8" s="28"/>
      <c r="C8" s="29" t="n">
        <f aca="false">SUM(C3:C7)</f>
        <v>1397</v>
      </c>
      <c r="D8" s="30" t="n">
        <f aca="false">SUM(D3:D7)</f>
        <v>17769500</v>
      </c>
      <c r="E8" s="33" t="n">
        <f aca="false">SUM(E3:E7)</f>
        <v>1</v>
      </c>
      <c r="F8" s="28"/>
    </row>
  </sheetData>
  <mergeCells count="1">
    <mergeCell ref="A1:F1"/>
  </mergeCells>
  <conditionalFormatting sqref="D3:D7">
    <cfRule type="dataBar" priority="2">
      <dataBar showValue="1" minLength="10" maxLength="90">
        <cfvo type="num" val="0"/>
        <cfvo type="max" val="0"/>
        <color rgb="FF00E096"/>
      </dataBar>
      <extLst>
        <ext xmlns:x14="http://schemas.microsoft.com/office/spreadsheetml/2009/9/main" uri="{B025F937-C7B1-47D3-B67F-A62EFF666E3E}">
          <x14:id>{AC35D3EB-239C-4A32-833B-AD19A4604EBC}</x14:id>
        </ext>
      </extLst>
    </cfRule>
  </conditionalFormatting>
  <conditionalFormatting sqref="E3:E7">
    <cfRule type="dataBar" priority="3">
      <dataBar showValue="1" minLength="10" maxLength="90">
        <cfvo type="num" val="0"/>
        <cfvo type="max" val="0"/>
        <color rgb="FFE8B84B"/>
      </dataBar>
      <extLst>
        <ext xmlns:x14="http://schemas.microsoft.com/office/spreadsheetml/2009/9/main" uri="{B025F937-C7B1-47D3-B67F-A62EFF666E3E}">
          <x14:id>{6E8B95A1-796C-4F86-8F4E-C5618465F446}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5D3EB-239C-4A32-833B-AD19A4604EBC}">
            <x14:dataBar minLength="10" maxLength="90" axisPosition="none" gradient="true">
              <x14:cfvo type="num">
                <xm:f>0</xm:f>
              </x14:cfvo>
              <x14:cfvo type="max"/>
              <x14:negativeFillColor rgb="FF00E096"/>
              <x14:axisColor rgb="FF000000"/>
            </x14:dataBar>
          </x14:cfRule>
          <xm:sqref>D3:D7</xm:sqref>
        </x14:conditionalFormatting>
        <x14:conditionalFormatting xmlns:xm="http://schemas.microsoft.com/office/excel/2006/main">
          <x14:cfRule type="dataBar" id="{6E8B95A1-796C-4F86-8F4E-C5618465F446}">
            <x14:dataBar minLength="10" maxLength="90" axisPosition="none" gradient="true">
              <x14:cfvo type="num">
                <xm:f>0</xm:f>
              </x14:cfvo>
              <x14:cfvo type="max"/>
              <x14:negativeFillColor rgb="FFE8B84B"/>
              <x14:axisColor rgb="FF000000"/>
            </x14:dataBar>
          </x14:cfRule>
          <xm:sqref>E3:E7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8"/>
  </cols>
  <sheetData>
    <row r="1" customFormat="false" ht="33.75" hidden="false" customHeight="true" outlineLevel="0" collapsed="false">
      <c r="A1" s="20" t="s">
        <v>190</v>
      </c>
      <c r="B1" s="20"/>
      <c r="C1" s="20"/>
      <c r="D1" s="20"/>
      <c r="E1" s="20"/>
      <c r="F1" s="20"/>
      <c r="G1" s="20"/>
    </row>
    <row r="2" customFormat="false" ht="21.75" hidden="false" customHeight="true" outlineLevel="0" collapsed="false">
      <c r="A2" s="21" t="s">
        <v>61</v>
      </c>
      <c r="B2" s="21" t="s">
        <v>189</v>
      </c>
      <c r="C2" s="21" t="s">
        <v>176</v>
      </c>
      <c r="D2" s="21" t="s">
        <v>60</v>
      </c>
      <c r="E2" s="21" t="s">
        <v>191</v>
      </c>
      <c r="F2" s="21" t="s">
        <v>178</v>
      </c>
      <c r="G2" s="21" t="s">
        <v>179</v>
      </c>
    </row>
    <row r="3" customFormat="false" ht="16.5" hidden="false" customHeight="true" outlineLevel="0" collapsed="false">
      <c r="A3" s="22" t="s">
        <v>65</v>
      </c>
      <c r="B3" s="23" t="n">
        <f aca="false">COUNTIF('📋 Sales Dataset'!L:L,A3)</f>
        <v>11</v>
      </c>
      <c r="C3" s="23" t="n">
        <f aca="false">SUMIF('📋 Sales Dataset'!L:L,A3,'📋 Sales Dataset'!I:I)</f>
        <v>296</v>
      </c>
      <c r="D3" s="24" t="n">
        <f aca="false">SUMIF('📋 Sales Dataset'!L:L,A3,'📋 Sales Dataset'!K:K)</f>
        <v>3999000</v>
      </c>
      <c r="E3" s="24" t="n">
        <f aca="false">IFERROR(D3/B3,0)</f>
        <v>363545.454545455</v>
      </c>
      <c r="F3" s="31" t="n">
        <f aca="false">IFERROR(D3/SUM($D$3:$D$7),0)</f>
        <v>0.225048538225611</v>
      </c>
      <c r="G3" s="22" t="n">
        <f aca="false">RANK(D3,$D$3:$D$7,0)</f>
        <v>2</v>
      </c>
    </row>
    <row r="4" customFormat="false" ht="16.5" hidden="false" customHeight="true" outlineLevel="0" collapsed="false">
      <c r="A4" s="25" t="s">
        <v>68</v>
      </c>
      <c r="B4" s="26" t="n">
        <f aca="false">COUNTIF('📋 Sales Dataset'!L:L,A4)</f>
        <v>9</v>
      </c>
      <c r="C4" s="26" t="n">
        <f aca="false">SUMIF('📋 Sales Dataset'!L:L,A4,'📋 Sales Dataset'!I:I)</f>
        <v>339</v>
      </c>
      <c r="D4" s="27" t="n">
        <f aca="false">SUMIF('📋 Sales Dataset'!L:L,A4,'📋 Sales Dataset'!K:K)</f>
        <v>2643000</v>
      </c>
      <c r="E4" s="27" t="n">
        <f aca="false">IFERROR(D4/B4,0)</f>
        <v>293666.666666667</v>
      </c>
      <c r="F4" s="32" t="n">
        <f aca="false">IFERROR(D4/SUM($D$3:$D$7),0)</f>
        <v>0.148738006134106</v>
      </c>
      <c r="G4" s="25" t="n">
        <f aca="false">RANK(D4,$D$3:$D$7,0)</f>
        <v>5</v>
      </c>
    </row>
    <row r="5" customFormat="false" ht="16.5" hidden="false" customHeight="true" outlineLevel="0" collapsed="false">
      <c r="A5" s="22" t="s">
        <v>71</v>
      </c>
      <c r="B5" s="23" t="n">
        <f aca="false">COUNTIF('📋 Sales Dataset'!L:L,A5)</f>
        <v>10</v>
      </c>
      <c r="C5" s="23" t="n">
        <f aca="false">SUMIF('📋 Sales Dataset'!L:L,A5,'📋 Sales Dataset'!I:I)</f>
        <v>193</v>
      </c>
      <c r="D5" s="24" t="n">
        <f aca="false">SUMIF('📋 Sales Dataset'!L:L,A5,'📋 Sales Dataset'!K:K)</f>
        <v>4147000</v>
      </c>
      <c r="E5" s="24" t="n">
        <f aca="false">IFERROR(D5/B5,0)</f>
        <v>414700</v>
      </c>
      <c r="F5" s="31" t="n">
        <f aca="false">IFERROR(D5/SUM($D$3:$D$7),0)</f>
        <v>0.233377416359492</v>
      </c>
      <c r="G5" s="22" t="n">
        <f aca="false">RANK(D5,$D$3:$D$7,0)</f>
        <v>1</v>
      </c>
    </row>
    <row r="6" customFormat="false" ht="16.5" hidden="false" customHeight="true" outlineLevel="0" collapsed="false">
      <c r="A6" s="25" t="s">
        <v>74</v>
      </c>
      <c r="B6" s="26" t="n">
        <f aca="false">COUNTIF('📋 Sales Dataset'!L:L,A6)</f>
        <v>9</v>
      </c>
      <c r="C6" s="26" t="n">
        <f aca="false">SUMIF('📋 Sales Dataset'!L:L,A6,'📋 Sales Dataset'!I:I)</f>
        <v>276</v>
      </c>
      <c r="D6" s="27" t="n">
        <f aca="false">SUMIF('📋 Sales Dataset'!L:L,A6,'📋 Sales Dataset'!K:K)</f>
        <v>3643000</v>
      </c>
      <c r="E6" s="27" t="n">
        <f aca="false">IFERROR(D6/B6,0)</f>
        <v>404777.777777778</v>
      </c>
      <c r="F6" s="32" t="n">
        <f aca="false">IFERROR(D6/SUM($D$3:$D$7),0)</f>
        <v>0.205014209741411</v>
      </c>
      <c r="G6" s="25" t="n">
        <f aca="false">RANK(D6,$D$3:$D$7,0)</f>
        <v>3</v>
      </c>
    </row>
    <row r="7" customFormat="false" ht="16.5" hidden="false" customHeight="true" outlineLevel="0" collapsed="false">
      <c r="A7" s="22" t="s">
        <v>80</v>
      </c>
      <c r="B7" s="23" t="n">
        <f aca="false">COUNTIF('📋 Sales Dataset'!L:L,A7)</f>
        <v>9</v>
      </c>
      <c r="C7" s="23" t="n">
        <f aca="false">SUMIF('📋 Sales Dataset'!L:L,A7,'📋 Sales Dataset'!I:I)</f>
        <v>293</v>
      </c>
      <c r="D7" s="24" t="n">
        <f aca="false">SUMIF('📋 Sales Dataset'!L:L,A7,'📋 Sales Dataset'!K:K)</f>
        <v>3337500</v>
      </c>
      <c r="E7" s="24" t="n">
        <f aca="false">IFERROR(D7/B7,0)</f>
        <v>370833.333333333</v>
      </c>
      <c r="F7" s="31" t="n">
        <f aca="false">IFERROR(D7/SUM($D$3:$D$7),0)</f>
        <v>0.187821829539379</v>
      </c>
      <c r="G7" s="22" t="n">
        <f aca="false">RANK(D7,$D$3:$D$7,0)</f>
        <v>4</v>
      </c>
    </row>
    <row r="8" customFormat="false" ht="21.75" hidden="false" customHeight="true" outlineLevel="0" collapsed="false">
      <c r="A8" s="28" t="s">
        <v>180</v>
      </c>
      <c r="B8" s="29" t="n">
        <f aca="false">SUM(B3:B7)</f>
        <v>48</v>
      </c>
      <c r="C8" s="29" t="n">
        <f aca="false">SUM(C3:C7)</f>
        <v>1397</v>
      </c>
      <c r="D8" s="30" t="n">
        <f aca="false">SUM(D3:D7)</f>
        <v>17769500</v>
      </c>
      <c r="E8" s="30" t="n">
        <f aca="false">AVERAGE(E3:E7)</f>
        <v>369504.646464646</v>
      </c>
      <c r="F8" s="33" t="n">
        <f aca="false">SUM(F3:F7)</f>
        <v>1</v>
      </c>
      <c r="G8" s="28"/>
    </row>
  </sheetData>
  <mergeCells count="1">
    <mergeCell ref="A1:G1"/>
  </mergeCells>
  <conditionalFormatting sqref="D3:D7">
    <cfRule type="dataBar" priority="2">
      <dataBar showValue="1" minLength="10" maxLength="90">
        <cfvo type="num" val="0"/>
        <cfvo type="max" val="0"/>
        <color rgb="FF8B5CF6"/>
      </dataBar>
      <extLst>
        <ext xmlns:x14="http://schemas.microsoft.com/office/spreadsheetml/2009/9/main" uri="{B025F937-C7B1-47D3-B67F-A62EFF666E3E}">
          <x14:id>{2F474193-6F12-43A0-AB16-77E9797B9676}</x14:id>
        </ext>
      </extLst>
    </cfRule>
  </conditionalFormatting>
  <conditionalFormatting sqref="F3:F7">
    <cfRule type="dataBar" priority="3">
      <dataBar showValue="1" minLength="10" maxLength="90">
        <cfvo type="num" val="0"/>
        <cfvo type="max" val="0"/>
        <color rgb="FFE8B84B"/>
      </dataBar>
      <extLst>
        <ext xmlns:x14="http://schemas.microsoft.com/office/spreadsheetml/2009/9/main" uri="{B025F937-C7B1-47D3-B67F-A62EFF666E3E}">
          <x14:id>{2090719E-4157-4A6E-A1DA-D2225A4FFE92}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474193-6F12-43A0-AB16-77E9797B9676}">
            <x14:dataBar minLength="10" maxLength="90" axisPosition="none" gradient="true">
              <x14:cfvo type="num">
                <xm:f>0</xm:f>
              </x14:cfvo>
              <x14:cfvo type="max"/>
              <x14:negativeFillColor rgb="FF8B5CF6"/>
              <x14:axisColor rgb="FF000000"/>
            </x14:dataBar>
          </x14:cfRule>
          <xm:sqref>D3:D7</xm:sqref>
        </x14:conditionalFormatting>
        <x14:conditionalFormatting xmlns:xm="http://schemas.microsoft.com/office/excel/2006/main">
          <x14:cfRule type="dataBar" id="{2090719E-4157-4A6E-A1DA-D2225A4FFE92}">
            <x14:dataBar minLength="10" maxLength="90" axisPosition="none" gradient="true">
              <x14:cfvo type="num">
                <xm:f>0</xm:f>
              </x14:cfvo>
              <x14:cfvo type="max"/>
              <x14:negativeFillColor rgb="FFE8B84B"/>
              <x14:axisColor rgb="FF000000"/>
            </x14:dataBar>
          </x14:cfRule>
          <xm:sqref>F3:F7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42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6" min="6" style="0" width="8"/>
  </cols>
  <sheetData>
    <row r="1" customFormat="false" ht="33.75" hidden="false" customHeight="true" outlineLevel="0" collapsed="false">
      <c r="A1" s="20" t="s">
        <v>192</v>
      </c>
      <c r="B1" s="20"/>
      <c r="C1" s="20"/>
      <c r="D1" s="20"/>
      <c r="E1" s="20"/>
      <c r="F1" s="20"/>
    </row>
    <row r="2" customFormat="false" ht="21.75" hidden="false" customHeight="true" outlineLevel="0" collapsed="false">
      <c r="A2" s="21" t="s">
        <v>7</v>
      </c>
      <c r="B2" s="21" t="s">
        <v>189</v>
      </c>
      <c r="C2" s="21" t="s">
        <v>176</v>
      </c>
      <c r="D2" s="21" t="s">
        <v>60</v>
      </c>
      <c r="E2" s="21" t="s">
        <v>178</v>
      </c>
      <c r="F2" s="21" t="s">
        <v>179</v>
      </c>
    </row>
    <row r="3" customFormat="false" ht="16.5" hidden="false" customHeight="true" outlineLevel="0" collapsed="false">
      <c r="A3" s="22" t="s">
        <v>13</v>
      </c>
      <c r="B3" s="22" t="n">
        <f aca="false">COUNTIF('📋 Sales Dataset'!F:F,A3)</f>
        <v>29</v>
      </c>
      <c r="C3" s="23" t="n">
        <f aca="false">SUMIF('📋 Sales Dataset'!F:F,A3,'📋 Sales Dataset'!I:I)</f>
        <v>832</v>
      </c>
      <c r="D3" s="24" t="n">
        <f aca="false">SUMIF('📋 Sales Dataset'!F:F,A3,'📋 Sales Dataset'!K:K)</f>
        <v>11621000</v>
      </c>
      <c r="E3" s="31" t="n">
        <f aca="false">IFERROR(D3/SUM($D$3:$D$5),0)</f>
        <v>0.653985762120487</v>
      </c>
      <c r="F3" s="22" t="n">
        <f aca="false">RANK(D3,$D$3:$D$5,0)</f>
        <v>1</v>
      </c>
    </row>
    <row r="4" customFormat="false" ht="16.5" hidden="false" customHeight="true" outlineLevel="0" collapsed="false">
      <c r="A4" s="25" t="s">
        <v>19</v>
      </c>
      <c r="B4" s="25" t="n">
        <f aca="false">COUNTIF('📋 Sales Dataset'!F:F,A4)</f>
        <v>13</v>
      </c>
      <c r="C4" s="26" t="n">
        <f aca="false">SUMIF('📋 Sales Dataset'!F:F,A4,'📋 Sales Dataset'!I:I)</f>
        <v>455</v>
      </c>
      <c r="D4" s="27" t="n">
        <f aca="false">SUMIF('📋 Sales Dataset'!F:F,A4,'📋 Sales Dataset'!K:K)</f>
        <v>4497500</v>
      </c>
      <c r="E4" s="32" t="n">
        <f aca="false">IFERROR(D4/SUM($D$3:$D$5),0)</f>
        <v>0.253102225723853</v>
      </c>
      <c r="F4" s="25" t="n">
        <f aca="false">RANK(D4,$D$3:$D$5,0)</f>
        <v>2</v>
      </c>
    </row>
    <row r="5" customFormat="false" ht="16.5" hidden="false" customHeight="true" outlineLevel="0" collapsed="false">
      <c r="A5" s="22" t="s">
        <v>24</v>
      </c>
      <c r="B5" s="22" t="n">
        <f aca="false">COUNTIF('📋 Sales Dataset'!F:F,A5)</f>
        <v>6</v>
      </c>
      <c r="C5" s="23" t="n">
        <f aca="false">SUMIF('📋 Sales Dataset'!F:F,A5,'📋 Sales Dataset'!I:I)</f>
        <v>110</v>
      </c>
      <c r="D5" s="24" t="n">
        <f aca="false">SUMIF('📋 Sales Dataset'!F:F,A5,'📋 Sales Dataset'!K:K)</f>
        <v>1651000</v>
      </c>
      <c r="E5" s="31" t="n">
        <f aca="false">IFERROR(D5/SUM($D$3:$D$5),0)</f>
        <v>0.09291201215566</v>
      </c>
      <c r="F5" s="22" t="n">
        <f aca="false">RANK(D5,$D$3:$D$5,0)</f>
        <v>3</v>
      </c>
    </row>
    <row r="6" customFormat="false" ht="21.75" hidden="false" customHeight="true" outlineLevel="0" collapsed="false">
      <c r="A6" s="28" t="s">
        <v>180</v>
      </c>
      <c r="B6" s="28" t="n">
        <f aca="false">SUM(B3:B5)</f>
        <v>48</v>
      </c>
      <c r="C6" s="29" t="n">
        <f aca="false">SUM(C3:C5)</f>
        <v>1397</v>
      </c>
      <c r="D6" s="30" t="n">
        <f aca="false">SUM(D3:D5)</f>
        <v>17769500</v>
      </c>
      <c r="E6" s="33" t="n">
        <f aca="false">SUM(E3:E5)</f>
        <v>1</v>
      </c>
      <c r="F6" s="28"/>
    </row>
  </sheetData>
  <mergeCells count="1">
    <mergeCell ref="A1:F1"/>
  </mergeCells>
  <conditionalFormatting sqref="D3:D5">
    <cfRule type="dataBar" priority="2">
      <dataBar showValue="1" minLength="10" maxLength="90">
        <cfvo type="num" val="0"/>
        <cfvo type="max" val="0"/>
        <color rgb="FFFF8C42"/>
      </dataBar>
      <extLst>
        <ext xmlns:x14="http://schemas.microsoft.com/office/spreadsheetml/2009/9/main" uri="{B025F937-C7B1-47D3-B67F-A62EFF666E3E}">
          <x14:id>{9EAB101F-EB18-4123-99F1-82D34D61CEA2}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B101F-EB18-4123-99F1-82D34D61CEA2}">
            <x14:dataBar minLength="10" maxLength="90" axisPosition="none" gradient="true">
              <x14:cfvo type="num">
                <xm:f>0</xm:f>
              </x14:cfvo>
              <x14:cfvo type="max"/>
              <x14:negativeFillColor rgb="FFFF8C42"/>
              <x14:axisColor rgb="FF000000"/>
            </x14:dataBar>
          </x14:cfRule>
          <xm:sqref>D3:D5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C3F7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7"/>
  </cols>
  <sheetData>
    <row r="1" customFormat="false" ht="33.75" hidden="false" customHeight="true" outlineLevel="0" collapsed="false">
      <c r="A1" s="20" t="s">
        <v>193</v>
      </c>
      <c r="B1" s="20"/>
      <c r="C1" s="20"/>
      <c r="D1" s="20"/>
      <c r="E1" s="20"/>
      <c r="F1" s="20"/>
      <c r="G1" s="20"/>
    </row>
    <row r="2" customFormat="false" ht="21.75" hidden="false" customHeight="true" outlineLevel="0" collapsed="false">
      <c r="A2" s="21" t="s">
        <v>6</v>
      </c>
      <c r="B2" s="21" t="s">
        <v>194</v>
      </c>
      <c r="C2" s="21" t="s">
        <v>189</v>
      </c>
      <c r="D2" s="21" t="s">
        <v>176</v>
      </c>
      <c r="E2" s="21" t="s">
        <v>60</v>
      </c>
      <c r="F2" s="21" t="s">
        <v>195</v>
      </c>
      <c r="G2" s="21" t="s">
        <v>184</v>
      </c>
    </row>
    <row r="3" customFormat="false" ht="16.5" hidden="false" customHeight="true" outlineLevel="0" collapsed="false">
      <c r="A3" s="22" t="s">
        <v>12</v>
      </c>
      <c r="B3" s="22" t="s">
        <v>196</v>
      </c>
      <c r="C3" s="22" t="n">
        <f aca="false">COUNTIF('📋 Sales Dataset'!D:D,A3)</f>
        <v>12</v>
      </c>
      <c r="D3" s="23" t="n">
        <f aca="false">SUMIF('📋 Sales Dataset'!D:D,A3,'📋 Sales Dataset'!I:I)</f>
        <v>153</v>
      </c>
      <c r="E3" s="24" t="n">
        <f aca="false">SUMIF('📋 Sales Dataset'!D:D,A3,'📋 Sales Dataset'!K:K)</f>
        <v>1874000</v>
      </c>
      <c r="F3" s="22" t="s">
        <v>186</v>
      </c>
      <c r="G3" s="24" t="n">
        <f aca="false">SUM($E$3:E3)</f>
        <v>1874000</v>
      </c>
    </row>
    <row r="4" customFormat="false" ht="16.5" hidden="false" customHeight="true" outlineLevel="0" collapsed="false">
      <c r="A4" s="25" t="s">
        <v>18</v>
      </c>
      <c r="B4" s="25" t="s">
        <v>197</v>
      </c>
      <c r="C4" s="25" t="n">
        <f aca="false">COUNTIF('📋 Sales Dataset'!D:D,A4)</f>
        <v>12</v>
      </c>
      <c r="D4" s="26" t="n">
        <f aca="false">SUMIF('📋 Sales Dataset'!D:D,A4,'📋 Sales Dataset'!I:I)</f>
        <v>262</v>
      </c>
      <c r="E4" s="27" t="n">
        <f aca="false">SUMIF('📋 Sales Dataset'!D:D,A4,'📋 Sales Dataset'!K:K)</f>
        <v>3203000</v>
      </c>
      <c r="F4" s="32" t="n">
        <f aca="false">IFERROR((E4-E3)/E3,0)</f>
        <v>0.709178228388474</v>
      </c>
      <c r="G4" s="27" t="n">
        <f aca="false">SUM($E$3:E4)</f>
        <v>5077000</v>
      </c>
    </row>
    <row r="5" customFormat="false" ht="16.5" hidden="false" customHeight="true" outlineLevel="0" collapsed="false">
      <c r="A5" s="22" t="s">
        <v>23</v>
      </c>
      <c r="B5" s="22" t="s">
        <v>198</v>
      </c>
      <c r="C5" s="22" t="n">
        <f aca="false">COUNTIF('📋 Sales Dataset'!D:D,A5)</f>
        <v>12</v>
      </c>
      <c r="D5" s="23" t="n">
        <f aca="false">SUMIF('📋 Sales Dataset'!D:D,A5,'📋 Sales Dataset'!I:I)</f>
        <v>473</v>
      </c>
      <c r="E5" s="24" t="n">
        <f aca="false">SUMIF('📋 Sales Dataset'!D:D,A5,'📋 Sales Dataset'!K:K)</f>
        <v>4762500</v>
      </c>
      <c r="F5" s="31" t="n">
        <f aca="false">IFERROR((E5-E4)/E4,0)</f>
        <v>0.48688729316266</v>
      </c>
      <c r="G5" s="24" t="n">
        <f aca="false">SUM($E$3:E5)</f>
        <v>9839500</v>
      </c>
    </row>
    <row r="6" customFormat="false" ht="16.5" hidden="false" customHeight="true" outlineLevel="0" collapsed="false">
      <c r="A6" s="25" t="s">
        <v>28</v>
      </c>
      <c r="B6" s="25" t="s">
        <v>199</v>
      </c>
      <c r="C6" s="25" t="n">
        <f aca="false">COUNTIF('📋 Sales Dataset'!D:D,A6)</f>
        <v>12</v>
      </c>
      <c r="D6" s="26" t="n">
        <f aca="false">SUMIF('📋 Sales Dataset'!D:D,A6,'📋 Sales Dataset'!I:I)</f>
        <v>509</v>
      </c>
      <c r="E6" s="27" t="n">
        <f aca="false">SUMIF('📋 Sales Dataset'!D:D,A6,'📋 Sales Dataset'!K:K)</f>
        <v>7930000</v>
      </c>
      <c r="F6" s="32" t="n">
        <f aca="false">IFERROR((E6-E5)/E5,0)</f>
        <v>0.66509186351706</v>
      </c>
      <c r="G6" s="27" t="n">
        <f aca="false">SUM($E$3:E6)</f>
        <v>17769500</v>
      </c>
    </row>
    <row r="7" customFormat="false" ht="21.75" hidden="false" customHeight="true" outlineLevel="0" collapsed="false">
      <c r="A7" s="28" t="s">
        <v>187</v>
      </c>
      <c r="B7" s="28"/>
      <c r="C7" s="28" t="n">
        <f aca="false">SUM(C3:C6)</f>
        <v>48</v>
      </c>
      <c r="D7" s="29" t="n">
        <f aca="false">SUM(D3:D6)</f>
        <v>1397</v>
      </c>
      <c r="E7" s="30" t="n">
        <f aca="false">SUM(E3:E6)</f>
        <v>17769500</v>
      </c>
      <c r="F7" s="28"/>
      <c r="G7" s="30" t="n">
        <f aca="false">E7</f>
        <v>17769500</v>
      </c>
    </row>
  </sheetData>
  <mergeCells count="1">
    <mergeCell ref="A1:G1"/>
  </mergeCells>
  <conditionalFormatting sqref="F4:F6">
    <cfRule type="colorScale" priority="2">
      <colorScale>
        <cfvo type="min" val="0"/>
        <cfvo type="num" val="0"/>
        <cfvo type="max" val="0"/>
        <color rgb="FFFF4C6A"/>
        <color rgb="FF888888"/>
        <color rgb="FF00E09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2026-05-01T18:31:38Z</dcterms:created>
  <dc:creator>openpyxl</dc:creator>
  <dc:description/>
  <dc:language>en-US</dc:language>
  <cp:lastModifiedBy/>
  <dcterms:modified xsi:type="dcterms:W3CDTF">2026-05-01T18:31:53Z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